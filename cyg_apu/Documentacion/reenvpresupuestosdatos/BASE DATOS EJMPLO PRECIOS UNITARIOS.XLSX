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BASE CAPITULO , ANALISIS , INSU" sheetId="1" r:id="rId1"/>
    <sheet name="CALCULO PRECIO UNITARIO" sheetId="2" r:id="rId2"/>
    <sheet name="CALCULO DE VOLUMNENES" sheetId="3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99" i="3" l="1"/>
  <c r="E97" i="3"/>
  <c r="D97" i="3"/>
  <c r="E95" i="3"/>
  <c r="D95" i="3"/>
  <c r="E93" i="3"/>
  <c r="D93" i="3"/>
  <c r="D92" i="3"/>
  <c r="E91" i="3"/>
  <c r="D91" i="3"/>
  <c r="E90" i="3"/>
  <c r="E86" i="3"/>
  <c r="E98" i="3" s="1"/>
  <c r="C78" i="3"/>
  <c r="D78" i="3" s="1"/>
  <c r="D77" i="3"/>
  <c r="C77" i="3"/>
  <c r="D76" i="3"/>
  <c r="C76" i="3"/>
  <c r="C75" i="3"/>
  <c r="D75" i="3" s="1"/>
  <c r="C74" i="3"/>
  <c r="D74" i="3" s="1"/>
  <c r="D73" i="3"/>
  <c r="C73" i="3"/>
  <c r="F66" i="3"/>
  <c r="F65" i="3"/>
  <c r="F64" i="3"/>
  <c r="F67" i="3" s="1"/>
  <c r="D83" i="3" s="1"/>
  <c r="D59" i="3"/>
  <c r="D82" i="3" s="1"/>
  <c r="H53" i="3"/>
  <c r="E96" i="3" s="1"/>
  <c r="G51" i="3"/>
  <c r="E51" i="3"/>
  <c r="E50" i="3"/>
  <c r="G50" i="3" s="1"/>
  <c r="G52" i="3" s="1"/>
  <c r="G53" i="3" s="1"/>
  <c r="D96" i="3" s="1"/>
  <c r="G42" i="3"/>
  <c r="E94" i="3" s="1"/>
  <c r="F42" i="3"/>
  <c r="D94" i="3" s="1"/>
  <c r="F41" i="3"/>
  <c r="F40" i="3"/>
  <c r="F39" i="3"/>
  <c r="F38" i="3"/>
  <c r="H32" i="3"/>
  <c r="H31" i="3"/>
  <c r="E92" i="3" s="1"/>
  <c r="G30" i="3"/>
  <c r="E30" i="3"/>
  <c r="G29" i="3"/>
  <c r="E29" i="3"/>
  <c r="G28" i="3"/>
  <c r="E28" i="3"/>
  <c r="G27" i="3"/>
  <c r="E27" i="3"/>
  <c r="E26" i="3"/>
  <c r="C26" i="3"/>
  <c r="G26" i="3" s="1"/>
  <c r="G25" i="3"/>
  <c r="E25" i="3"/>
  <c r="G18" i="3"/>
  <c r="F17" i="3"/>
  <c r="F18" i="3" s="1"/>
  <c r="D90" i="3" s="1"/>
  <c r="G11" i="3"/>
  <c r="G105" i="3" s="1"/>
  <c r="B11" i="3"/>
  <c r="C105" i="3" s="1"/>
  <c r="B9" i="3"/>
  <c r="B7" i="3"/>
  <c r="H5" i="3"/>
  <c r="F39" i="2"/>
  <c r="D23" i="2"/>
  <c r="D22" i="2"/>
  <c r="D21" i="2"/>
  <c r="D16" i="2"/>
  <c r="D15" i="2"/>
  <c r="D79" i="3" l="1"/>
  <c r="D84" i="3" s="1"/>
  <c r="D85" i="3"/>
  <c r="D86" i="3" s="1"/>
  <c r="D98" i="3" s="1"/>
  <c r="D101" i="3" s="1"/>
  <c r="F105" i="3" s="1"/>
</calcChain>
</file>

<file path=xl/sharedStrings.xml><?xml version="1.0" encoding="utf-8"?>
<sst xmlns="http://schemas.openxmlformats.org/spreadsheetml/2006/main" count="541" uniqueCount="158">
  <si>
    <t>COD CAPITULO</t>
  </si>
  <si>
    <t>CAPITULO</t>
  </si>
  <si>
    <t>Unidad Capitulo</t>
  </si>
  <si>
    <t>COD ANALISIS</t>
  </si>
  <si>
    <t>ANALISIS</t>
  </si>
  <si>
    <t>Unidad Analisis</t>
  </si>
  <si>
    <t>COD INSUMO</t>
  </si>
  <si>
    <t>INSUMO</t>
  </si>
  <si>
    <t>DETALLE</t>
  </si>
  <si>
    <t>Unidad Insumos</t>
  </si>
  <si>
    <t>PRESUPUESTO</t>
  </si>
  <si>
    <t>CERRAJERIA</t>
  </si>
  <si>
    <t>CERRADURA PUERTA PRINCIPAL DE SEGURIDAD</t>
  </si>
  <si>
    <t>U</t>
  </si>
  <si>
    <t>EQUIPOS</t>
  </si>
  <si>
    <t>COSTO DIRECTO</t>
  </si>
  <si>
    <t>MANO DE OBRA</t>
  </si>
  <si>
    <t>MATERIALES</t>
  </si>
  <si>
    <t>TRANSPORTE</t>
  </si>
  <si>
    <t>CERRADURA TIPO A LLAVE-LLAVE</t>
  </si>
  <si>
    <t>CERRADURA TIPO B LLAVE-LLAVE</t>
  </si>
  <si>
    <t>CERRADURA TIPO A LLAVE-SEGURO</t>
  </si>
  <si>
    <t>CERRADURA TIPO B LLAVE-SEGURO</t>
  </si>
  <si>
    <t>CERRADURA TIPO A BAÑO</t>
  </si>
  <si>
    <t>CERRADURA TIPO B BAÑO</t>
  </si>
  <si>
    <t>CERRADURA TIPO A DE PASO</t>
  </si>
  <si>
    <t>CERRADURA TIPO B DE PASO</t>
  </si>
  <si>
    <t>CERRADURA TIPO CAJA</t>
  </si>
  <si>
    <t>CERRADURA ELECTRICA PARA PORTERO ELECTRICO</t>
  </si>
  <si>
    <t>PICAPORTES</t>
  </si>
  <si>
    <t>CERRADURA ALTA SEGURIDAD TIPO MULTILOCK</t>
  </si>
  <si>
    <t>CERRADURA ELECTRONICA PUERTA EXTERIOR</t>
  </si>
  <si>
    <t>BARRAS ANTIPANICO</t>
  </si>
  <si>
    <t>martillo</t>
  </si>
  <si>
    <t>obrero</t>
  </si>
  <si>
    <t>clavo</t>
  </si>
  <si>
    <t>carro</t>
  </si>
  <si>
    <t>CERRADURAS BODEGAS</t>
  </si>
  <si>
    <t>martillo 2</t>
  </si>
  <si>
    <t>obrero 2</t>
  </si>
  <si>
    <t>clavito</t>
  </si>
  <si>
    <t>carrito</t>
  </si>
  <si>
    <t>Formulario No. 4</t>
  </si>
  <si>
    <t>OFERENTE: CONSORCIO TRES TORRES DEL RIO</t>
  </si>
  <si>
    <t>CODIGO DEL PROCESO: LICO-FRM-003-2012</t>
  </si>
  <si>
    <t>HOJA:</t>
  </si>
  <si>
    <t>DE:  350</t>
  </si>
  <si>
    <t>ANALISIS DE PRECIOS UNITARIOS</t>
  </si>
  <si>
    <t>Rubro:</t>
  </si>
  <si>
    <t>REPLANTEO DE LA EDIFICACION</t>
  </si>
  <si>
    <t>UNIDAD:</t>
  </si>
  <si>
    <t>m2</t>
  </si>
  <si>
    <t>DETALLE:</t>
  </si>
  <si>
    <t>Descripción</t>
  </si>
  <si>
    <t>Cantidad</t>
  </si>
  <si>
    <t>Tarifa</t>
  </si>
  <si>
    <t>Costo Hora</t>
  </si>
  <si>
    <t>Rendim.</t>
  </si>
  <si>
    <t>Costo</t>
  </si>
  <si>
    <t>HERRAMIENTAS VARIAS</t>
  </si>
  <si>
    <t>Equipo de topografía</t>
  </si>
  <si>
    <t xml:space="preserve">Subtotal M: </t>
  </si>
  <si>
    <t>Jornal / HR</t>
  </si>
  <si>
    <t>PEON</t>
  </si>
  <si>
    <t>MAESTRO DE OBRA</t>
  </si>
  <si>
    <t>Topógrafo 1: experiencia de hasta 5 años (Estr. Oc. C2)</t>
  </si>
  <si>
    <t xml:space="preserve">Subtotal N: </t>
  </si>
  <si>
    <t>Unidad</t>
  </si>
  <si>
    <t>Precio Unit.</t>
  </si>
  <si>
    <t>CLAVOS MULTIUSO CON CABEZA (1" A 8")</t>
  </si>
  <si>
    <t>kg</t>
  </si>
  <si>
    <t>TIRAS DE MADERA DE EUCALIPTO 4x5cm</t>
  </si>
  <si>
    <t>u</t>
  </si>
  <si>
    <t xml:space="preserve">Subtotal O: </t>
  </si>
  <si>
    <t xml:space="preserve">Subtotal P: </t>
  </si>
  <si>
    <t>TOTAL COSTO DIRECTO (M+N+O+P)</t>
  </si>
  <si>
    <t>INDIRECTOS Y UTILIDADES</t>
  </si>
  <si>
    <t>OTROS INDIRECTOS</t>
  </si>
  <si>
    <t>COSTO TOTAL DEL RUBRO</t>
  </si>
  <si>
    <t>ESTOS PRECIOS NO INCLUYEN IVA.</t>
  </si>
  <si>
    <t>VALOR OFERTADO</t>
  </si>
  <si>
    <t>Cuenca, 23 de Noviembre de 2012</t>
  </si>
  <si>
    <t>PROCURADOR COMUN</t>
  </si>
  <si>
    <t>CONSORCIO TRES TORRES DEL RIO</t>
  </si>
  <si>
    <t>ANEXOS - PLANILLA DE OBRA - BLOQUE 1</t>
  </si>
  <si>
    <t xml:space="preserve">CONSTRUCCION DE 144 DEPARTAMENTOS EN TORRES DE OCHO PISOS.                                                                                                                                                                                                                                                                                                                                                                                                                                                                                                                    TERCERA ETAPA DEL PROYECTO HABITACIONAL "VISTA AL RIO".                                                                                                                                                                                                                                                                                                                                                      FIDEICOMISO RIELES DE MONAY.            </t>
  </si>
  <si>
    <t>PERIODO DE EJECUCION:</t>
  </si>
  <si>
    <t/>
  </si>
  <si>
    <t>MURO DE GRADA 20,16 / 23,04</t>
  </si>
  <si>
    <t>LARGO</t>
  </si>
  <si>
    <t>ANCHO</t>
  </si>
  <si>
    <t>ALTURA</t>
  </si>
  <si>
    <t>CANTIDAD</t>
  </si>
  <si>
    <t>VOLUMEN</t>
  </si>
  <si>
    <t>OBSERVACIONES</t>
  </si>
  <si>
    <t>m</t>
  </si>
  <si>
    <t>m3</t>
  </si>
  <si>
    <t>GRADA 14,40 / 17,28</t>
  </si>
  <si>
    <t>GRADA 17,28 / 20,16</t>
  </si>
  <si>
    <t>AREA</t>
  </si>
  <si>
    <t>ALTO</t>
  </si>
  <si>
    <t>unidades</t>
  </si>
  <si>
    <t>DIAGONAL ARRANQUE</t>
  </si>
  <si>
    <t>PELSAÑOS ARRANQUE</t>
  </si>
  <si>
    <t>DDESCANSO 1</t>
  </si>
  <si>
    <t>DIAGONAL LLEGADA</t>
  </si>
  <si>
    <t>PELDAÑOS LLEGADA</t>
  </si>
  <si>
    <t>VIGA DE GRADA</t>
  </si>
  <si>
    <t>DIAFRAGMA 20,16 / 23,04</t>
  </si>
  <si>
    <t xml:space="preserve">PAREDES LONGITUDINALES DIAFRAGMA </t>
  </si>
  <si>
    <t xml:space="preserve">PAREDES TRANSVERSALES DIAFRAGMA  </t>
  </si>
  <si>
    <t>DESCUENTO POR PUERTAS ASCENSOR</t>
  </si>
  <si>
    <t>COLUMNAS  20,16 / 23,04</t>
  </si>
  <si>
    <t>LADO 1</t>
  </si>
  <si>
    <t>LADO 2</t>
  </si>
  <si>
    <t xml:space="preserve"> ALTURA</t>
  </si>
  <si>
    <t>VOL. TOTAL</t>
  </si>
  <si>
    <t>ELEMENTO</t>
  </si>
  <si>
    <t>m3.</t>
  </si>
  <si>
    <t>unid.</t>
  </si>
  <si>
    <t xml:space="preserve">COLUMNAS C2   </t>
  </si>
  <si>
    <t xml:space="preserve">COLUMNAS C3   </t>
  </si>
  <si>
    <t>LOSA 20,16</t>
  </si>
  <si>
    <t>AREA LOSA</t>
  </si>
  <si>
    <t>VOLUMEN 1</t>
  </si>
  <si>
    <t>ANEXO GRAFICO 1.</t>
  </si>
  <si>
    <t>LONGITUD</t>
  </si>
  <si>
    <t># ELEMENTOS</t>
  </si>
  <si>
    <t>M3</t>
  </si>
  <si>
    <t>PERIMETRO EXTERIOR DE LA LOSA.</t>
  </si>
  <si>
    <t>ANEXO GRAFICO 1</t>
  </si>
  <si>
    <t>VIGAS COLGADAS LONGITUDINALES</t>
  </si>
  <si>
    <t>VIGAS COLGADAS TRANSVERSALES</t>
  </si>
  <si>
    <t>VOLUMEN 2</t>
  </si>
  <si>
    <t>DESCUENTOS</t>
  </si>
  <si>
    <t>UNIDADES</t>
  </si>
  <si>
    <t>VOLUMEN POR UNIDAD</t>
  </si>
  <si>
    <t>VOL. ALIV.</t>
  </si>
  <si>
    <t>DESCUENTO POR ALIVIANAMIENTO CASETON= 37,5X37,5X20 cm</t>
  </si>
  <si>
    <t>DESCUENTO POR DUCTOS DUCTOS = 40X40X25 cm</t>
  </si>
  <si>
    <t>DESCUENTO POR BLOQUEZ DE POMEZ BLOQUES = 40X20X20 cm.</t>
  </si>
  <si>
    <t>DESCUENTO POR GRADA=  (3,80X2,90X0,25 cm.)</t>
  </si>
  <si>
    <t>DESCUENTO POR ASCENSOR ( 3,80x1,85x 0,25 cm.)</t>
  </si>
  <si>
    <t>DESCUENTO POR INTERSECCION DE VIGAS (40X40X20 cm.)</t>
  </si>
  <si>
    <t>VOLUMEN 3</t>
  </si>
  <si>
    <t>VOL. 1</t>
  </si>
  <si>
    <t>VOL. 2</t>
  </si>
  <si>
    <t>VOL. 3</t>
  </si>
  <si>
    <t>TOTAL 1+2-3</t>
  </si>
  <si>
    <t>TOTALES</t>
  </si>
  <si>
    <t>SUB 1</t>
  </si>
  <si>
    <t>SUB 2</t>
  </si>
  <si>
    <t>SUB 3</t>
  </si>
  <si>
    <t>SUB 4</t>
  </si>
  <si>
    <t>SUB 6</t>
  </si>
  <si>
    <t>SUB 8</t>
  </si>
  <si>
    <t>SUB 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</si>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</sst>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#,##0.0000"/>
    <numFmt numFmtId="166" formatCode="&quot;Cuenca, &quot;\ d\ &quot;de&quot;\ mmmm\ &quot;de&quot;\ yyyy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8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3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64" fontId="0" fillId="3" borderId="1" xfId="0" applyNumberFormat="1" applyFont="1" applyFill="1" applyBorder="1"/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0" fontId="0" fillId="3" borderId="1" xfId="0" applyFont="1" applyFill="1" applyBorder="1"/>
    <xf numFmtId="0" fontId="0" fillId="3" borderId="4" xfId="0" applyFont="1" applyFill="1" applyBorder="1"/>
    <xf numFmtId="164" fontId="0" fillId="0" borderId="1" xfId="0" applyNumberFormat="1" applyFont="1" applyBorder="1"/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0" fontId="0" fillId="0" borderId="1" xfId="0" applyFont="1" applyBorder="1"/>
    <xf numFmtId="0" fontId="0" fillId="0" borderId="4" xfId="0" applyFont="1" applyBorder="1"/>
    <xf numFmtId="0" fontId="3" fillId="0" borderId="0" xfId="1"/>
    <xf numFmtId="0" fontId="3" fillId="0" borderId="0" xfId="1" applyFont="1" applyAlignment="1">
      <alignment horizontal="center"/>
    </xf>
    <xf numFmtId="49" fontId="4" fillId="0" borderId="0" xfId="1" applyNumberFormat="1" applyFont="1" applyBorder="1" applyAlignment="1">
      <alignment horizontal="left"/>
    </xf>
    <xf numFmtId="49" fontId="5" fillId="0" borderId="0" xfId="1" applyNumberFormat="1" applyFont="1" applyBorder="1" applyAlignment="1">
      <alignment horizontal="left"/>
    </xf>
    <xf numFmtId="0" fontId="3" fillId="0" borderId="0" xfId="1" applyBorder="1" applyAlignment="1">
      <alignment horizontal="left"/>
    </xf>
    <xf numFmtId="49" fontId="3" fillId="0" borderId="0" xfId="1" applyNumberFormat="1" applyBorder="1" applyAlignment="1">
      <alignment horizontal="left"/>
    </xf>
    <xf numFmtId="49" fontId="6" fillId="0" borderId="0" xfId="1" applyNumberFormat="1" applyFont="1" applyBorder="1" applyAlignment="1">
      <alignment horizontal="right"/>
    </xf>
    <xf numFmtId="49" fontId="7" fillId="0" borderId="0" xfId="1" applyNumberFormat="1" applyFont="1" applyBorder="1" applyAlignment="1">
      <alignment horizontal="center"/>
    </xf>
    <xf numFmtId="49" fontId="7" fillId="0" borderId="0" xfId="1" applyNumberFormat="1" applyFont="1" applyBorder="1" applyAlignment="1">
      <alignment horizontal="left"/>
    </xf>
    <xf numFmtId="49" fontId="3" fillId="0" borderId="0" xfId="1" applyNumberFormat="1" applyBorder="1" applyAlignment="1">
      <alignment horizontal="left"/>
    </xf>
    <xf numFmtId="49" fontId="5" fillId="0" borderId="0" xfId="1" applyNumberFormat="1" applyFont="1" applyBorder="1" applyAlignment="1">
      <alignment horizontal="center"/>
    </xf>
    <xf numFmtId="0" fontId="2" fillId="0" borderId="0" xfId="1" applyFont="1" applyBorder="1" applyAlignment="1">
      <alignment horizontal="justify" vertical="top" wrapText="1"/>
    </xf>
    <xf numFmtId="0" fontId="8" fillId="0" borderId="0" xfId="1" applyFont="1" applyBorder="1" applyAlignment="1"/>
    <xf numFmtId="0" fontId="2" fillId="0" borderId="0" xfId="1" applyFont="1" applyBorder="1" applyAlignment="1"/>
    <xf numFmtId="4" fontId="2" fillId="0" borderId="0" xfId="1" applyNumberFormat="1" applyFont="1" applyAlignment="1">
      <alignment horizontal="right"/>
    </xf>
    <xf numFmtId="49" fontId="5" fillId="0" borderId="0" xfId="1" applyNumberFormat="1" applyFont="1" applyAlignment="1">
      <alignment horizontal="left"/>
    </xf>
    <xf numFmtId="165" fontId="8" fillId="0" borderId="0" xfId="1" applyNumberFormat="1" applyFont="1" applyBorder="1" applyAlignment="1">
      <alignment horizontal="right"/>
    </xf>
    <xf numFmtId="4" fontId="8" fillId="0" borderId="0" xfId="1" applyNumberFormat="1" applyFont="1" applyBorder="1" applyAlignment="1">
      <alignment horizontal="right"/>
    </xf>
    <xf numFmtId="49" fontId="8" fillId="0" borderId="5" xfId="1" applyNumberFormat="1" applyFont="1" applyBorder="1" applyAlignment="1">
      <alignment horizontal="left"/>
    </xf>
    <xf numFmtId="49" fontId="8" fillId="0" borderId="6" xfId="1" applyNumberFormat="1" applyFont="1" applyBorder="1" applyAlignment="1">
      <alignment horizontal="left"/>
    </xf>
    <xf numFmtId="49" fontId="8" fillId="0" borderId="7" xfId="1" applyNumberFormat="1" applyFont="1" applyBorder="1" applyAlignment="1">
      <alignment horizontal="left"/>
    </xf>
    <xf numFmtId="49" fontId="8" fillId="0" borderId="8" xfId="1" applyNumberFormat="1" applyFont="1" applyBorder="1" applyAlignment="1">
      <alignment horizontal="center"/>
    </xf>
    <xf numFmtId="165" fontId="8" fillId="0" borderId="9" xfId="1" applyNumberFormat="1" applyFont="1" applyBorder="1" applyAlignment="1">
      <alignment horizontal="center"/>
    </xf>
    <xf numFmtId="4" fontId="8" fillId="0" borderId="9" xfId="1" applyNumberFormat="1" applyFont="1" applyBorder="1" applyAlignment="1">
      <alignment horizontal="center"/>
    </xf>
    <xf numFmtId="4" fontId="8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/>
    <xf numFmtId="165" fontId="2" fillId="0" borderId="12" xfId="1" applyNumberFormat="1" applyFont="1" applyBorder="1" applyAlignment="1">
      <alignment horizontal="right"/>
    </xf>
    <xf numFmtId="4" fontId="2" fillId="0" borderId="11" xfId="1" applyNumberFormat="1" applyFont="1" applyBorder="1" applyAlignment="1">
      <alignment horizontal="right"/>
    </xf>
    <xf numFmtId="165" fontId="2" fillId="0" borderId="11" xfId="1" applyNumberFormat="1" applyFont="1" applyBorder="1" applyAlignment="1">
      <alignment horizontal="right"/>
    </xf>
    <xf numFmtId="4" fontId="2" fillId="0" borderId="13" xfId="1" applyNumberFormat="1" applyFont="1" applyBorder="1" applyAlignment="1">
      <alignment horizontal="right"/>
    </xf>
    <xf numFmtId="49" fontId="2" fillId="0" borderId="14" xfId="1" applyNumberFormat="1" applyFont="1" applyBorder="1" applyAlignment="1">
      <alignment horizontal="left"/>
    </xf>
    <xf numFmtId="49" fontId="2" fillId="0" borderId="15" xfId="1" applyNumberFormat="1" applyFont="1" applyBorder="1" applyAlignment="1">
      <alignment horizontal="left"/>
    </xf>
    <xf numFmtId="49" fontId="2" fillId="0" borderId="16" xfId="1" applyNumberFormat="1" applyFont="1" applyBorder="1" applyAlignment="1">
      <alignment horizontal="left"/>
    </xf>
    <xf numFmtId="4" fontId="2" fillId="0" borderId="17" xfId="1" applyNumberFormat="1" applyFont="1" applyBorder="1" applyAlignment="1">
      <alignment horizontal="right"/>
    </xf>
    <xf numFmtId="49" fontId="2" fillId="0" borderId="18" xfId="1" applyNumberFormat="1" applyFont="1" applyBorder="1" applyAlignment="1">
      <alignment horizontal="right"/>
    </xf>
    <xf numFmtId="49" fontId="2" fillId="0" borderId="19" xfId="1" applyNumberFormat="1" applyFont="1" applyBorder="1" applyAlignment="1">
      <alignment horizontal="right"/>
    </xf>
    <xf numFmtId="4" fontId="2" fillId="0" borderId="20" xfId="1" applyNumberFormat="1" applyFont="1" applyBorder="1" applyAlignment="1">
      <alignment horizontal="right"/>
    </xf>
    <xf numFmtId="49" fontId="8" fillId="0" borderId="5" xfId="1" applyNumberFormat="1" applyFont="1" applyBorder="1" applyAlignment="1">
      <alignment horizontal="center"/>
    </xf>
    <xf numFmtId="49" fontId="8" fillId="0" borderId="9" xfId="1" applyNumberFormat="1" applyFont="1" applyBorder="1" applyAlignment="1">
      <alignment horizontal="center"/>
    </xf>
    <xf numFmtId="49" fontId="8" fillId="0" borderId="10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left" vertical="top" wrapText="1"/>
    </xf>
    <xf numFmtId="165" fontId="2" fillId="0" borderId="22" xfId="1" applyNumberFormat="1" applyFont="1" applyBorder="1" applyAlignment="1">
      <alignment horizontal="right" vertical="center"/>
    </xf>
    <xf numFmtId="4" fontId="2" fillId="0" borderId="22" xfId="1" applyNumberFormat="1" applyFont="1" applyBorder="1" applyAlignment="1">
      <alignment horizontal="right" vertical="center"/>
    </xf>
    <xf numFmtId="4" fontId="2" fillId="0" borderId="11" xfId="1" applyNumberFormat="1" applyFont="1" applyBorder="1" applyAlignment="1">
      <alignment horizontal="right" vertical="center"/>
    </xf>
    <xf numFmtId="4" fontId="2" fillId="0" borderId="23" xfId="1" applyNumberFormat="1" applyFont="1" applyBorder="1" applyAlignment="1">
      <alignment horizontal="right" vertical="center"/>
    </xf>
    <xf numFmtId="49" fontId="2" fillId="0" borderId="24" xfId="1" applyNumberFormat="1" applyFont="1" applyBorder="1" applyAlignment="1">
      <alignment horizontal="left" vertical="top" wrapText="1"/>
    </xf>
    <xf numFmtId="165" fontId="2" fillId="0" borderId="1" xfId="1" applyNumberFormat="1" applyFont="1" applyBorder="1" applyAlignment="1">
      <alignment horizontal="right" vertical="center"/>
    </xf>
    <xf numFmtId="4" fontId="2" fillId="0" borderId="1" xfId="1" applyNumberFormat="1" applyFont="1" applyBorder="1" applyAlignment="1">
      <alignment horizontal="right" vertical="center"/>
    </xf>
    <xf numFmtId="4" fontId="2" fillId="0" borderId="25" xfId="1" applyNumberFormat="1" applyFont="1" applyBorder="1" applyAlignment="1">
      <alignment horizontal="right" vertical="center"/>
    </xf>
    <xf numFmtId="49" fontId="8" fillId="0" borderId="5" xfId="1" applyNumberFormat="1" applyFont="1" applyBorder="1" applyAlignment="1">
      <alignment horizontal="center"/>
    </xf>
    <xf numFmtId="49" fontId="8" fillId="0" borderId="7" xfId="1" applyNumberFormat="1" applyFont="1" applyBorder="1" applyAlignment="1">
      <alignment horizontal="center"/>
    </xf>
    <xf numFmtId="4" fontId="8" fillId="0" borderId="6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vertical="top" wrapText="1"/>
    </xf>
    <xf numFmtId="49" fontId="2" fillId="0" borderId="26" xfId="1" applyNumberFormat="1" applyFont="1" applyBorder="1" applyAlignment="1">
      <alignment vertical="top" wrapText="1"/>
    </xf>
    <xf numFmtId="4" fontId="2" fillId="0" borderId="22" xfId="1" applyNumberFormat="1" applyFont="1" applyBorder="1" applyAlignment="1">
      <alignment horizontal="center" vertical="center"/>
    </xf>
    <xf numFmtId="49" fontId="2" fillId="0" borderId="24" xfId="1" applyNumberFormat="1" applyFont="1" applyBorder="1" applyAlignment="1">
      <alignment vertical="top" wrapText="1"/>
    </xf>
    <xf numFmtId="49" fontId="2" fillId="0" borderId="27" xfId="1" applyNumberFormat="1" applyFont="1" applyBorder="1" applyAlignment="1">
      <alignment vertical="top" wrapText="1"/>
    </xf>
    <xf numFmtId="4" fontId="2" fillId="0" borderId="1" xfId="1" applyNumberFormat="1" applyFont="1" applyBorder="1" applyAlignment="1">
      <alignment horizontal="center" vertical="center"/>
    </xf>
    <xf numFmtId="49" fontId="2" fillId="0" borderId="28" xfId="1" applyNumberFormat="1" applyFont="1" applyBorder="1" applyAlignment="1">
      <alignment horizontal="right"/>
    </xf>
    <xf numFmtId="49" fontId="2" fillId="0" borderId="0" xfId="1" applyNumberFormat="1" applyFont="1" applyBorder="1" applyAlignment="1">
      <alignment horizontal="right"/>
    </xf>
    <xf numFmtId="4" fontId="2" fillId="0" borderId="29" xfId="1" applyNumberFormat="1" applyFont="1" applyBorder="1" applyAlignment="1">
      <alignment horizontal="right"/>
    </xf>
    <xf numFmtId="49" fontId="8" fillId="0" borderId="30" xfId="1" applyNumberFormat="1" applyFont="1" applyBorder="1" applyAlignment="1">
      <alignment horizontal="left"/>
    </xf>
    <xf numFmtId="49" fontId="8" fillId="0" borderId="31" xfId="1" applyNumberFormat="1" applyFont="1" applyBorder="1" applyAlignment="1">
      <alignment horizontal="left"/>
    </xf>
    <xf numFmtId="49" fontId="8" fillId="0" borderId="32" xfId="1" applyNumberFormat="1" applyFont="1" applyBorder="1" applyAlignment="1">
      <alignment horizontal="left"/>
    </xf>
    <xf numFmtId="49" fontId="8" fillId="0" borderId="8" xfId="1" applyNumberFormat="1" applyFont="1" applyBorder="1" applyAlignment="1">
      <alignment horizontal="center"/>
    </xf>
    <xf numFmtId="49" fontId="8" fillId="0" borderId="9" xfId="1" applyNumberFormat="1" applyFont="1" applyBorder="1" applyAlignment="1">
      <alignment horizontal="center"/>
    </xf>
    <xf numFmtId="49" fontId="2" fillId="0" borderId="24" xfId="1" applyNumberFormat="1" applyFont="1" applyBorder="1" applyAlignment="1"/>
    <xf numFmtId="49" fontId="2" fillId="0" borderId="27" xfId="1" applyNumberFormat="1" applyFont="1" applyBorder="1" applyAlignment="1"/>
    <xf numFmtId="4" fontId="2" fillId="0" borderId="1" xfId="1" applyNumberFormat="1" applyFont="1" applyBorder="1" applyAlignment="1">
      <alignment horizontal="center"/>
    </xf>
    <xf numFmtId="165" fontId="2" fillId="0" borderId="1" xfId="1" applyNumberFormat="1" applyFont="1" applyBorder="1" applyAlignment="1">
      <alignment horizontal="right"/>
    </xf>
    <xf numFmtId="4" fontId="2" fillId="0" borderId="1" xfId="1" applyNumberFormat="1" applyFont="1" applyBorder="1" applyAlignment="1">
      <alignment horizontal="right"/>
    </xf>
    <xf numFmtId="4" fontId="2" fillId="0" borderId="25" xfId="1" applyNumberFormat="1" applyFont="1" applyBorder="1" applyAlignment="1">
      <alignment horizontal="right"/>
    </xf>
    <xf numFmtId="49" fontId="8" fillId="0" borderId="15" xfId="1" applyNumberFormat="1" applyFont="1" applyBorder="1" applyAlignment="1">
      <alignment horizontal="left"/>
    </xf>
    <xf numFmtId="49" fontId="8" fillId="0" borderId="16" xfId="1" applyNumberFormat="1" applyFont="1" applyBorder="1" applyAlignment="1">
      <alignment horizontal="left"/>
    </xf>
    <xf numFmtId="49" fontId="8" fillId="0" borderId="0" xfId="1" applyNumberFormat="1" applyFont="1" applyBorder="1" applyAlignment="1">
      <alignment horizontal="center"/>
    </xf>
    <xf numFmtId="4" fontId="8" fillId="0" borderId="21" xfId="1" applyNumberFormat="1" applyFont="1" applyBorder="1" applyAlignment="1">
      <alignment horizontal="left"/>
    </xf>
    <xf numFmtId="4" fontId="8" fillId="0" borderId="33" xfId="1" applyNumberFormat="1" applyFont="1" applyBorder="1" applyAlignment="1">
      <alignment horizontal="right"/>
    </xf>
    <xf numFmtId="165" fontId="8" fillId="0" borderId="26" xfId="1" applyNumberFormat="1" applyFont="1" applyBorder="1" applyAlignment="1">
      <alignment horizontal="right"/>
    </xf>
    <xf numFmtId="4" fontId="2" fillId="0" borderId="23" xfId="1" applyNumberFormat="1" applyFont="1" applyBorder="1" applyAlignment="1">
      <alignment horizontal="right"/>
    </xf>
    <xf numFmtId="49" fontId="2" fillId="0" borderId="0" xfId="1" applyNumberFormat="1" applyFont="1" applyAlignment="1">
      <alignment horizontal="left" indent="1"/>
    </xf>
    <xf numFmtId="4" fontId="8" fillId="0" borderId="28" xfId="1" applyNumberFormat="1" applyFont="1" applyBorder="1" applyAlignment="1">
      <alignment horizontal="left"/>
    </xf>
    <xf numFmtId="4" fontId="2" fillId="0" borderId="34" xfId="1" applyNumberFormat="1" applyFont="1" applyBorder="1" applyAlignment="1">
      <alignment horizontal="right"/>
    </xf>
    <xf numFmtId="10" fontId="2" fillId="0" borderId="35" xfId="1" applyNumberFormat="1" applyFont="1" applyBorder="1" applyAlignment="1">
      <alignment horizontal="right"/>
    </xf>
    <xf numFmtId="4" fontId="8" fillId="0" borderId="24" xfId="1" applyNumberFormat="1" applyFont="1" applyBorder="1" applyAlignment="1">
      <alignment horizontal="left"/>
    </xf>
    <xf numFmtId="4" fontId="2" fillId="0" borderId="36" xfId="1" applyNumberFormat="1" applyFont="1" applyBorder="1" applyAlignment="1">
      <alignment horizontal="right"/>
    </xf>
    <xf numFmtId="4" fontId="2" fillId="0" borderId="27" xfId="1" applyNumberFormat="1" applyFont="1" applyBorder="1" applyAlignment="1">
      <alignment horizontal="right"/>
    </xf>
    <xf numFmtId="4" fontId="8" fillId="0" borderId="14" xfId="1" applyNumberFormat="1" applyFont="1" applyBorder="1" applyAlignment="1">
      <alignment horizontal="left"/>
    </xf>
    <xf numFmtId="4" fontId="2" fillId="0" borderId="15" xfId="1" applyNumberFormat="1" applyFont="1" applyBorder="1" applyAlignment="1">
      <alignment horizontal="right"/>
    </xf>
    <xf numFmtId="4" fontId="2" fillId="0" borderId="16" xfId="1" applyNumberFormat="1" applyFont="1" applyBorder="1" applyAlignment="1">
      <alignment horizontal="right"/>
    </xf>
    <xf numFmtId="4" fontId="8" fillId="0" borderId="17" xfId="1" applyNumberFormat="1" applyFont="1" applyBorder="1" applyAlignment="1">
      <alignment horizontal="right"/>
    </xf>
    <xf numFmtId="166" fontId="2" fillId="0" borderId="0" xfId="1" applyNumberFormat="1" applyFont="1" applyAlignment="1">
      <alignment horizontal="left" indent="1"/>
    </xf>
    <xf numFmtId="4" fontId="2" fillId="0" borderId="37" xfId="1" applyNumberFormat="1" applyFont="1" applyBorder="1" applyAlignment="1">
      <alignment horizontal="right"/>
    </xf>
    <xf numFmtId="0" fontId="3" fillId="0" borderId="37" xfId="1" applyBorder="1"/>
    <xf numFmtId="4" fontId="2" fillId="0" borderId="0" xfId="1" applyNumberFormat="1" applyFont="1" applyBorder="1" applyAlignment="1">
      <alignment horizontal="right"/>
    </xf>
    <xf numFmtId="4" fontId="8" fillId="0" borderId="0" xfId="1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9" fillId="0" borderId="0" xfId="0" applyFont="1" applyFill="1" applyAlignment="1">
      <alignment horizontal="left" vertical="center"/>
    </xf>
    <xf numFmtId="49" fontId="10" fillId="0" borderId="0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vertical="center" wrapText="1"/>
    </xf>
    <xf numFmtId="0" fontId="9" fillId="0" borderId="0" xfId="0" applyFont="1" applyFill="1" applyAlignment="1">
      <alignment horizontal="right" vertical="center"/>
    </xf>
    <xf numFmtId="0" fontId="9" fillId="0" borderId="0" xfId="0" applyFont="1" applyFill="1" applyAlignment="1">
      <alignment horizontal="center" vertical="center"/>
    </xf>
    <xf numFmtId="2" fontId="9" fillId="0" borderId="0" xfId="0" applyNumberFormat="1" applyFont="1" applyFill="1" applyAlignment="1">
      <alignment horizontal="right" vertical="center"/>
    </xf>
    <xf numFmtId="49" fontId="10" fillId="0" borderId="0" xfId="1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right" vertical="center"/>
    </xf>
    <xf numFmtId="2" fontId="9" fillId="0" borderId="0" xfId="0" applyNumberFormat="1" applyFont="1" applyFill="1" applyAlignment="1">
      <alignment horizontal="left" vertical="center"/>
    </xf>
    <xf numFmtId="3" fontId="10" fillId="0" borderId="0" xfId="1" applyNumberFormat="1" applyFont="1" applyFill="1" applyBorder="1" applyAlignment="1">
      <alignment horizontal="right"/>
    </xf>
    <xf numFmtId="0" fontId="11" fillId="0" borderId="0" xfId="0" applyFont="1" applyFill="1" applyAlignment="1">
      <alignment horizontal="left" vertical="center"/>
    </xf>
    <xf numFmtId="2" fontId="9" fillId="0" borderId="0" xfId="0" applyNumberFormat="1" applyFont="1" applyFill="1"/>
    <xf numFmtId="2" fontId="9" fillId="0" borderId="0" xfId="0" applyNumberFormat="1" applyFont="1" applyFill="1" applyAlignment="1">
      <alignment horizontal="center"/>
    </xf>
    <xf numFmtId="3" fontId="12" fillId="0" borderId="0" xfId="1" applyNumberFormat="1" applyFont="1" applyFill="1" applyBorder="1" applyAlignment="1">
      <alignment horizontal="right"/>
    </xf>
    <xf numFmtId="0" fontId="12" fillId="0" borderId="0" xfId="0" applyFont="1" applyFill="1" applyAlignment="1">
      <alignment horizontal="left" vertical="center"/>
    </xf>
    <xf numFmtId="3" fontId="9" fillId="0" borderId="0" xfId="1" applyNumberFormat="1" applyFont="1" applyFill="1" applyBorder="1" applyAlignment="1">
      <alignment horizontal="right"/>
    </xf>
    <xf numFmtId="2" fontId="9" fillId="0" borderId="0" xfId="1" applyNumberFormat="1" applyFont="1" applyFill="1" applyBorder="1" applyAlignment="1">
      <alignment horizontal="left" vertical="top"/>
    </xf>
    <xf numFmtId="0" fontId="10" fillId="0" borderId="0" xfId="0" applyFont="1" applyFill="1" applyAlignment="1">
      <alignment horizontal="center" vertical="center"/>
    </xf>
    <xf numFmtId="3" fontId="9" fillId="0" borderId="0" xfId="0" applyNumberFormat="1" applyFont="1" applyFill="1" applyBorder="1"/>
    <xf numFmtId="2" fontId="9" fillId="0" borderId="0" xfId="0" applyNumberFormat="1" applyFont="1" applyFill="1" applyBorder="1" applyAlignment="1"/>
    <xf numFmtId="2" fontId="10" fillId="0" borderId="0" xfId="0" applyNumberFormat="1" applyFont="1" applyFill="1" applyBorder="1" applyAlignment="1"/>
    <xf numFmtId="2" fontId="10" fillId="0" borderId="0" xfId="0" applyNumberFormat="1" applyFont="1" applyFill="1" applyBorder="1" applyAlignment="1">
      <alignment vertical="center"/>
    </xf>
    <xf numFmtId="2" fontId="9" fillId="0" borderId="0" xfId="0" applyNumberFormat="1" applyFont="1" applyFill="1" applyBorder="1" applyAlignment="1">
      <alignment horizontal="center" vertical="center"/>
    </xf>
    <xf numFmtId="3" fontId="9" fillId="0" borderId="0" xfId="0" applyNumberFormat="1" applyFont="1" applyFill="1" applyAlignment="1">
      <alignment vertical="center"/>
    </xf>
    <xf numFmtId="2" fontId="10" fillId="0" borderId="38" xfId="0" applyNumberFormat="1" applyFont="1" applyFill="1" applyBorder="1" applyAlignment="1">
      <alignment horizontal="center"/>
    </xf>
    <xf numFmtId="2" fontId="10" fillId="0" borderId="22" xfId="0" applyNumberFormat="1" applyFont="1" applyFill="1" applyBorder="1" applyAlignment="1">
      <alignment horizontal="center"/>
    </xf>
    <xf numFmtId="2" fontId="10" fillId="0" borderId="39" xfId="0" applyNumberFormat="1" applyFont="1" applyFill="1" applyBorder="1"/>
    <xf numFmtId="2" fontId="9" fillId="0" borderId="40" xfId="0" applyNumberFormat="1" applyFont="1" applyFill="1" applyBorder="1"/>
    <xf numFmtId="2" fontId="9" fillId="0" borderId="41" xfId="0" applyNumberFormat="1" applyFont="1" applyFill="1" applyBorder="1" applyAlignment="1">
      <alignment horizontal="center"/>
    </xf>
    <xf numFmtId="2" fontId="9" fillId="0" borderId="42" xfId="0" applyNumberFormat="1" applyFont="1" applyFill="1" applyBorder="1" applyAlignment="1">
      <alignment horizontal="center"/>
    </xf>
    <xf numFmtId="2" fontId="9" fillId="0" borderId="43" xfId="0" applyNumberFormat="1" applyFont="1" applyFill="1" applyBorder="1"/>
    <xf numFmtId="2" fontId="9" fillId="0" borderId="44" xfId="0" applyNumberFormat="1" applyFont="1" applyFill="1" applyBorder="1"/>
    <xf numFmtId="2" fontId="9" fillId="0" borderId="11" xfId="0" applyNumberFormat="1" applyFont="1" applyFill="1" applyBorder="1" applyAlignment="1">
      <alignment horizontal="center"/>
    </xf>
    <xf numFmtId="1" fontId="9" fillId="0" borderId="11" xfId="0" applyNumberFormat="1" applyFont="1" applyFill="1" applyBorder="1" applyAlignment="1">
      <alignment horizontal="center"/>
    </xf>
    <xf numFmtId="2" fontId="9" fillId="0" borderId="45" xfId="0" applyNumberFormat="1" applyFont="1" applyFill="1" applyBorder="1"/>
    <xf numFmtId="2" fontId="9" fillId="0" borderId="0" xfId="0" applyNumberFormat="1" applyFont="1" applyFill="1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2" fontId="9" fillId="0" borderId="4" xfId="0" applyNumberFormat="1" applyFont="1" applyFill="1" applyBorder="1"/>
    <xf numFmtId="2" fontId="9" fillId="0" borderId="27" xfId="0" applyNumberFormat="1" applyFont="1" applyFill="1" applyBorder="1"/>
    <xf numFmtId="2" fontId="9" fillId="0" borderId="0" xfId="0" applyNumberFormat="1" applyFont="1" applyFill="1" applyBorder="1"/>
    <xf numFmtId="2" fontId="9" fillId="0" borderId="1" xfId="0" applyNumberFormat="1" applyFont="1" applyFill="1" applyBorder="1" applyAlignment="1">
      <alignment horizontal="center"/>
    </xf>
    <xf numFmtId="2" fontId="10" fillId="0" borderId="0" xfId="0" applyNumberFormat="1" applyFont="1" applyFill="1" applyBorder="1" applyAlignment="1">
      <alignment horizontal="left"/>
    </xf>
    <xf numFmtId="0" fontId="13" fillId="0" borderId="0" xfId="0" applyFont="1" applyFill="1" applyBorder="1" applyAlignment="1">
      <alignment horizontal="right" vertical="center"/>
    </xf>
    <xf numFmtId="2" fontId="14" fillId="0" borderId="38" xfId="0" applyNumberFormat="1" applyFont="1" applyFill="1" applyBorder="1" applyAlignment="1">
      <alignment horizontal="center"/>
    </xf>
    <xf numFmtId="2" fontId="14" fillId="0" borderId="22" xfId="0" applyNumberFormat="1" applyFont="1" applyFill="1" applyBorder="1" applyAlignment="1">
      <alignment horizontal="center"/>
    </xf>
    <xf numFmtId="0" fontId="15" fillId="0" borderId="46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5" fillId="0" borderId="0" xfId="0" applyFont="1" applyFill="1" applyBorder="1" applyAlignment="1">
      <alignment horizontal="center" vertical="center"/>
    </xf>
    <xf numFmtId="2" fontId="16" fillId="0" borderId="41" xfId="0" applyNumberFormat="1" applyFont="1" applyFill="1" applyBorder="1" applyAlignment="1">
      <alignment horizontal="center"/>
    </xf>
    <xf numFmtId="2" fontId="16" fillId="0" borderId="42" xfId="0" applyNumberFormat="1" applyFont="1" applyFill="1" applyBorder="1" applyAlignment="1">
      <alignment horizontal="center"/>
    </xf>
    <xf numFmtId="0" fontId="15" fillId="0" borderId="47" xfId="0" applyFont="1" applyFill="1" applyBorder="1" applyAlignment="1">
      <alignment horizontal="center" vertical="center" wrapText="1"/>
    </xf>
    <xf numFmtId="2" fontId="13" fillId="0" borderId="1" xfId="0" applyNumberFormat="1" applyFont="1" applyFill="1" applyBorder="1" applyAlignment="1">
      <alignment horizontal="center" vertical="center" wrapText="1"/>
    </xf>
    <xf numFmtId="1" fontId="13" fillId="0" borderId="27" xfId="0" applyNumberFormat="1" applyFont="1" applyFill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2" fontId="13" fillId="0" borderId="0" xfId="0" applyNumberFormat="1" applyFont="1" applyFill="1" applyBorder="1" applyAlignment="1">
      <alignment horizontal="center" vertical="center" wrapText="1"/>
    </xf>
    <xf numFmtId="1" fontId="13" fillId="0" borderId="0" xfId="0" applyNumberFormat="1" applyFont="1" applyFill="1" applyBorder="1" applyAlignment="1">
      <alignment horizontal="center" vertical="center" wrapText="1"/>
    </xf>
    <xf numFmtId="2" fontId="15" fillId="0" borderId="0" xfId="0" applyNumberFormat="1" applyFont="1" applyFill="1" applyBorder="1" applyAlignment="1">
      <alignment horizontal="center" vertical="center" wrapText="1"/>
    </xf>
    <xf numFmtId="2" fontId="15" fillId="0" borderId="1" xfId="0" applyNumberFormat="1" applyFont="1" applyFill="1" applyBorder="1" applyAlignment="1">
      <alignment horizontal="center" vertical="center" wrapText="1"/>
    </xf>
    <xf numFmtId="2" fontId="15" fillId="0" borderId="1" xfId="0" applyNumberFormat="1" applyFont="1" applyFill="1" applyBorder="1" applyAlignment="1">
      <alignment horizontal="left" vertical="center" wrapText="1"/>
    </xf>
    <xf numFmtId="2" fontId="15" fillId="0" borderId="0" xfId="0" applyNumberFormat="1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vertical="center" wrapText="1"/>
    </xf>
    <xf numFmtId="2" fontId="10" fillId="0" borderId="33" xfId="0" applyNumberFormat="1" applyFont="1" applyFill="1" applyBorder="1"/>
    <xf numFmtId="2" fontId="9" fillId="0" borderId="15" xfId="0" applyNumberFormat="1" applyFont="1" applyFill="1" applyBorder="1"/>
    <xf numFmtId="2" fontId="9" fillId="0" borderId="48" xfId="0" applyNumberFormat="1" applyFont="1" applyFill="1" applyBorder="1"/>
    <xf numFmtId="2" fontId="9" fillId="0" borderId="37" xfId="0" applyNumberFormat="1" applyFont="1" applyFill="1" applyBorder="1"/>
    <xf numFmtId="2" fontId="9" fillId="0" borderId="12" xfId="0" applyNumberFormat="1" applyFont="1" applyFill="1" applyBorder="1"/>
    <xf numFmtId="2" fontId="9" fillId="0" borderId="49" xfId="0" applyNumberFormat="1" applyFont="1" applyFill="1" applyBorder="1" applyAlignment="1">
      <alignment horizontal="center"/>
    </xf>
    <xf numFmtId="1" fontId="9" fillId="0" borderId="49" xfId="0" applyNumberFormat="1" applyFont="1" applyFill="1" applyBorder="1" applyAlignment="1">
      <alignment horizontal="center"/>
    </xf>
    <xf numFmtId="2" fontId="9" fillId="0" borderId="16" xfId="0" applyNumberFormat="1" applyFont="1" applyFill="1" applyBorder="1"/>
    <xf numFmtId="2" fontId="9" fillId="0" borderId="36" xfId="0" applyNumberFormat="1" applyFont="1" applyFill="1" applyBorder="1"/>
    <xf numFmtId="2" fontId="10" fillId="0" borderId="0" xfId="0" applyNumberFormat="1" applyFont="1" applyFill="1" applyAlignment="1">
      <alignment horizontal="left" vertical="center"/>
    </xf>
    <xf numFmtId="2" fontId="10" fillId="0" borderId="0" xfId="0" applyNumberFormat="1" applyFont="1" applyFill="1" applyBorder="1" applyAlignment="1">
      <alignment horizontal="center" vertical="center"/>
    </xf>
    <xf numFmtId="2" fontId="9" fillId="0" borderId="0" xfId="0" applyNumberFormat="1" applyFont="1" applyFill="1" applyAlignment="1">
      <alignment vertical="center"/>
    </xf>
    <xf numFmtId="2" fontId="9" fillId="0" borderId="0" xfId="0" applyNumberFormat="1" applyFont="1" applyFill="1" applyAlignment="1">
      <alignment horizontal="center" vertical="center"/>
    </xf>
    <xf numFmtId="2" fontId="10" fillId="0" borderId="38" xfId="0" applyNumberFormat="1" applyFont="1" applyFill="1" applyBorder="1" applyAlignment="1">
      <alignment horizontal="center" vertical="center"/>
    </xf>
    <xf numFmtId="2" fontId="10" fillId="0" borderId="22" xfId="0" applyNumberFormat="1" applyFont="1" applyFill="1" applyBorder="1" applyAlignment="1">
      <alignment horizontal="center" vertical="center"/>
    </xf>
    <xf numFmtId="2" fontId="10" fillId="0" borderId="39" xfId="0" applyNumberFormat="1" applyFont="1" applyFill="1" applyBorder="1" applyAlignment="1">
      <alignment horizontal="center" vertical="center"/>
    </xf>
    <xf numFmtId="2" fontId="10" fillId="0" borderId="50" xfId="0" applyNumberFormat="1" applyFont="1" applyFill="1" applyBorder="1" applyAlignment="1">
      <alignment vertical="center"/>
    </xf>
    <xf numFmtId="2" fontId="10" fillId="0" borderId="32" xfId="0" applyNumberFormat="1" applyFont="1" applyFill="1" applyBorder="1" applyAlignment="1">
      <alignment vertical="center"/>
    </xf>
    <xf numFmtId="2" fontId="10" fillId="0" borderId="41" xfId="0" applyNumberFormat="1" applyFont="1" applyFill="1" applyBorder="1" applyAlignment="1">
      <alignment horizontal="center" vertical="center"/>
    </xf>
    <xf numFmtId="2" fontId="10" fillId="0" borderId="42" xfId="0" applyNumberFormat="1" applyFont="1" applyFill="1" applyBorder="1" applyAlignment="1">
      <alignment horizontal="center" vertical="center"/>
    </xf>
    <xf numFmtId="2" fontId="10" fillId="0" borderId="43" xfId="0" applyNumberFormat="1" applyFont="1" applyFill="1" applyBorder="1" applyAlignment="1">
      <alignment horizontal="center" vertical="center"/>
    </xf>
    <xf numFmtId="2" fontId="10" fillId="0" borderId="51" xfId="0" applyNumberFormat="1" applyFont="1" applyFill="1" applyBorder="1" applyAlignment="1">
      <alignment vertical="center"/>
    </xf>
    <xf numFmtId="2" fontId="10" fillId="0" borderId="20" xfId="0" applyNumberFormat="1" applyFont="1" applyFill="1" applyBorder="1" applyAlignment="1">
      <alignment vertical="center"/>
    </xf>
    <xf numFmtId="2" fontId="9" fillId="0" borderId="11" xfId="0" applyNumberFormat="1" applyFont="1" applyFill="1" applyBorder="1" applyAlignment="1">
      <alignment horizontal="center" vertical="center"/>
    </xf>
    <xf numFmtId="1" fontId="9" fillId="0" borderId="11" xfId="0" applyNumberFormat="1" applyFont="1" applyFill="1" applyBorder="1" applyAlignment="1">
      <alignment horizontal="center" vertical="center"/>
    </xf>
    <xf numFmtId="2" fontId="9" fillId="0" borderId="48" xfId="0" applyNumberFormat="1" applyFont="1" applyFill="1" applyBorder="1" applyAlignment="1">
      <alignment vertical="center"/>
    </xf>
    <xf numFmtId="2" fontId="9" fillId="0" borderId="12" xfId="0" applyNumberFormat="1" applyFont="1" applyFill="1" applyBorder="1" applyAlignment="1">
      <alignment vertical="center"/>
    </xf>
    <xf numFmtId="2" fontId="9" fillId="0" borderId="1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2" fontId="9" fillId="0" borderId="27" xfId="0" applyNumberFormat="1" applyFont="1" applyFill="1" applyBorder="1" applyAlignment="1">
      <alignment vertical="center"/>
    </xf>
    <xf numFmtId="2" fontId="9" fillId="0" borderId="4" xfId="0" applyNumberFormat="1" applyFont="1" applyFill="1" applyBorder="1" applyAlignment="1">
      <alignment vertical="center"/>
    </xf>
    <xf numFmtId="2" fontId="9" fillId="0" borderId="0" xfId="0" applyNumberFormat="1" applyFont="1" applyFill="1" applyBorder="1" applyAlignment="1">
      <alignment horizontal="right" vertical="center"/>
    </xf>
    <xf numFmtId="2" fontId="9" fillId="0" borderId="0" xfId="0" applyNumberFormat="1" applyFont="1" applyFill="1" applyBorder="1" applyAlignment="1">
      <alignment vertical="center"/>
    </xf>
    <xf numFmtId="2" fontId="9" fillId="0" borderId="0" xfId="0" applyNumberFormat="1" applyFont="1" applyFill="1" applyBorder="1" applyAlignment="1">
      <alignment horizontal="left" vertical="center"/>
    </xf>
    <xf numFmtId="1" fontId="9" fillId="0" borderId="0" xfId="0" applyNumberFormat="1" applyFont="1" applyFill="1" applyBorder="1" applyAlignment="1">
      <alignment horizontal="center" vertical="center"/>
    </xf>
    <xf numFmtId="2" fontId="10" fillId="0" borderId="39" xfId="0" applyNumberFormat="1" applyFont="1" applyFill="1" applyBorder="1" applyAlignment="1">
      <alignment horizontal="center"/>
    </xf>
    <xf numFmtId="2" fontId="9" fillId="0" borderId="33" xfId="0" applyNumberFormat="1" applyFont="1" applyFill="1" applyBorder="1" applyAlignment="1">
      <alignment horizontal="center"/>
    </xf>
    <xf numFmtId="2" fontId="9" fillId="0" borderId="43" xfId="0" applyNumberFormat="1" applyFont="1" applyFill="1" applyBorder="1" applyAlignment="1">
      <alignment horizontal="center"/>
    </xf>
    <xf numFmtId="2" fontId="9" fillId="0" borderId="15" xfId="0" applyNumberFormat="1" applyFont="1" applyFill="1" applyBorder="1" applyAlignment="1">
      <alignment horizontal="center"/>
    </xf>
    <xf numFmtId="2" fontId="9" fillId="0" borderId="39" xfId="0" applyNumberFormat="1" applyFont="1" applyFill="1" applyBorder="1"/>
    <xf numFmtId="2" fontId="10" fillId="0" borderId="0" xfId="0" applyNumberFormat="1" applyFont="1" applyFill="1" applyBorder="1" applyAlignment="1">
      <alignment horizontal="center"/>
    </xf>
    <xf numFmtId="1" fontId="9" fillId="0" borderId="1" xfId="0" applyNumberFormat="1" applyFont="1" applyFill="1" applyBorder="1" applyAlignment="1">
      <alignment horizontal="center"/>
    </xf>
    <xf numFmtId="2" fontId="9" fillId="0" borderId="41" xfId="0" applyNumberFormat="1" applyFont="1" applyFill="1" applyBorder="1" applyAlignment="1"/>
    <xf numFmtId="2" fontId="9" fillId="0" borderId="42" xfId="0" applyNumberFormat="1" applyFont="1" applyFill="1" applyBorder="1"/>
    <xf numFmtId="2" fontId="9" fillId="0" borderId="19" xfId="0" applyNumberFormat="1" applyFont="1" applyFill="1" applyBorder="1"/>
    <xf numFmtId="2" fontId="9" fillId="0" borderId="19" xfId="0" applyNumberFormat="1" applyFont="1" applyFill="1" applyBorder="1" applyAlignment="1">
      <alignment horizontal="center"/>
    </xf>
    <xf numFmtId="2" fontId="9" fillId="0" borderId="20" xfId="0" applyNumberFormat="1" applyFont="1" applyFill="1" applyBorder="1"/>
    <xf numFmtId="2" fontId="9" fillId="0" borderId="37" xfId="0" applyNumberFormat="1" applyFont="1" applyFill="1" applyBorder="1" applyAlignment="1">
      <alignment horizontal="center"/>
    </xf>
    <xf numFmtId="2" fontId="9" fillId="0" borderId="36" xfId="0" applyNumberFormat="1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left" vertical="center"/>
    </xf>
    <xf numFmtId="2" fontId="9" fillId="0" borderId="1" xfId="0" applyNumberFormat="1" applyFont="1" applyFill="1" applyBorder="1" applyAlignment="1">
      <alignment horizontal="right"/>
    </xf>
    <xf numFmtId="2" fontId="9" fillId="0" borderId="4" xfId="0" applyNumberFormat="1" applyFont="1" applyFill="1" applyBorder="1" applyAlignment="1">
      <alignment horizontal="right"/>
    </xf>
    <xf numFmtId="2" fontId="9" fillId="0" borderId="4" xfId="0" applyNumberFormat="1" applyFont="1" applyFill="1" applyBorder="1" applyAlignment="1">
      <alignment horizontal="left"/>
    </xf>
    <xf numFmtId="2" fontId="9" fillId="0" borderId="0" xfId="0" applyNumberFormat="1" applyFont="1" applyFill="1" applyBorder="1" applyAlignment="1">
      <alignment horizontal="left"/>
    </xf>
    <xf numFmtId="2" fontId="9" fillId="0" borderId="52" xfId="0" applyNumberFormat="1" applyFont="1" applyFill="1" applyBorder="1" applyAlignment="1">
      <alignment horizontal="right"/>
    </xf>
    <xf numFmtId="2" fontId="9" fillId="0" borderId="11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10" fillId="4" borderId="5" xfId="0" applyNumberFormat="1" applyFont="1" applyFill="1" applyBorder="1" applyAlignment="1">
      <alignment horizontal="right" vertical="center"/>
    </xf>
    <xf numFmtId="2" fontId="10" fillId="4" borderId="6" xfId="0" applyNumberFormat="1" applyFont="1" applyFill="1" applyBorder="1" applyAlignment="1">
      <alignment vertical="center"/>
    </xf>
    <xf numFmtId="2" fontId="9" fillId="4" borderId="6" xfId="0" applyNumberFormat="1" applyFont="1" applyFill="1" applyBorder="1" applyAlignment="1">
      <alignment vertical="center"/>
    </xf>
    <xf numFmtId="2" fontId="10" fillId="4" borderId="6" xfId="0" applyNumberFormat="1" applyFont="1" applyFill="1" applyBorder="1" applyAlignment="1">
      <alignment horizontal="center" vertical="center"/>
    </xf>
    <xf numFmtId="2" fontId="10" fillId="4" borderId="7" xfId="0" applyNumberFormat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vier\Documents\C&amp;G\C&amp;G\SOFTWARE%20C&amp;G\MACCONSTRUCCIONES\EDIT\CALCULO%20VOLUMENES\PLANILLA%207\C3TR%20PLANILLA%20%20No7.%20PERIODO%20DICIEMBRE%20C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BANA - PLANILLA DE OBRA"/>
      <sheetName val="RESUMEN DE CANTIDADES DE OBRA"/>
      <sheetName val="RESUMENES ANEXOS"/>
      <sheetName val="ANEXOS BLOQUE 1 OK"/>
      <sheetName val="ANEXO ACERO-BLOQUE 1 OK"/>
      <sheetName val="ANEXOS BLOQUE 2 OK"/>
      <sheetName val="ANEXO ACERO-BLOQUE 2 OK"/>
      <sheetName val="ANEXOS BLOQUE 3 OK"/>
      <sheetName val="ANEXOS ACERO-BLOQUE 3 OK"/>
      <sheetName val="ANEXO MURO PERIMETRAL"/>
      <sheetName val="ANEXO ACERO MURO PERIMETRAL"/>
      <sheetName val="ACERO COLUM B1"/>
      <sheetName val="ACERO COLUM B2"/>
      <sheetName val="ACERO COLUM B3"/>
      <sheetName val="ACERO TRASL COL"/>
      <sheetName val="MAMPOSTERIAS"/>
    </sheetNames>
    <sheetDataSet>
      <sheetData sheetId="0">
        <row r="14">
          <cell r="D14" t="str">
            <v>DICIEMBRE / 2013.</v>
          </cell>
        </row>
      </sheetData>
      <sheetData sheetId="1">
        <row r="8">
          <cell r="B8" t="str">
            <v>1</v>
          </cell>
          <cell r="C8" t="str">
            <v>TRABAJOS PRELIMINARES</v>
          </cell>
          <cell r="D8" t="str">
            <v/>
          </cell>
        </row>
        <row r="9">
          <cell r="B9">
            <v>1001</v>
          </cell>
          <cell r="C9" t="str">
            <v>REPLANTEO DE LA EDIFICACION</v>
          </cell>
          <cell r="D9" t="str">
            <v>m2</v>
          </cell>
        </row>
        <row r="10">
          <cell r="B10">
            <v>2</v>
          </cell>
          <cell r="C10" t="str">
            <v>EXCAVACIONES Y RELLENOS</v>
          </cell>
          <cell r="D10" t="str">
            <v/>
          </cell>
        </row>
        <row r="11">
          <cell r="B11">
            <v>2001</v>
          </cell>
          <cell r="C11" t="str">
            <v>EXCAVACION A MAQUINA CON EXCAVADORA</v>
          </cell>
          <cell r="D11" t="str">
            <v>m3</v>
          </cell>
        </row>
        <row r="12">
          <cell r="B12">
            <v>2002</v>
          </cell>
          <cell r="C12" t="str">
            <v>EXCAVACION MANUAL DE MATERIAL SIN CLASIFICAR</v>
          </cell>
          <cell r="D12" t="str">
            <v>m3</v>
          </cell>
        </row>
        <row r="13">
          <cell r="B13">
            <v>2003</v>
          </cell>
          <cell r="C13" t="str">
            <v>Excavación a máquina en material conglomerado</v>
          </cell>
          <cell r="D13" t="str">
            <v>m3</v>
          </cell>
        </row>
        <row r="14">
          <cell r="B14">
            <v>2004</v>
          </cell>
          <cell r="C14" t="str">
            <v>RELLENO COMPACTADO CON MATERIAL DE MEJORAMIENTO</v>
          </cell>
          <cell r="D14" t="str">
            <v>m3</v>
          </cell>
        </row>
        <row r="15">
          <cell r="B15">
            <v>2005</v>
          </cell>
          <cell r="C15" t="str">
            <v>RELLENO CON MATERIAL DE SUBBASE PARA PLATAFORMAS CON EQUIPO LIVIANO</v>
          </cell>
          <cell r="D15" t="str">
            <v>m3</v>
          </cell>
        </row>
        <row r="16">
          <cell r="B16">
            <v>2006</v>
          </cell>
          <cell r="C16" t="str">
            <v>RELLENO COMPACTADO CON MATERIAL DE REPOSICIÓN. (LASTRE) CON EQUIPO PESADO</v>
          </cell>
          <cell r="D16" t="str">
            <v>m3</v>
          </cell>
        </row>
        <row r="17">
          <cell r="B17">
            <v>2007</v>
          </cell>
          <cell r="C17" t="str">
            <v>CONFORMACION Y COMPACTACION DE PLATAFORMAS CON EQUIPO PESADO</v>
          </cell>
          <cell r="D17" t="str">
            <v>m2</v>
          </cell>
        </row>
        <row r="18">
          <cell r="B18">
            <v>2008</v>
          </cell>
          <cell r="C18" t="str">
            <v>CONFORMACIÓN Y COMPACTACIÓN DE PLATAFORMAS CON EQUIPO LIVIANO</v>
          </cell>
          <cell r="D18" t="str">
            <v>m2</v>
          </cell>
        </row>
        <row r="19">
          <cell r="B19">
            <v>2009</v>
          </cell>
          <cell r="C19" t="str">
            <v>ENTIBADO DISCONTINUO (3 USOS)</v>
          </cell>
          <cell r="D19" t="str">
            <v>m2</v>
          </cell>
        </row>
        <row r="20">
          <cell r="B20">
            <v>2010</v>
          </cell>
          <cell r="C20" t="str">
            <v>CARGADA DE MATERIAL A MAQUINA</v>
          </cell>
          <cell r="D20" t="str">
            <v>m3</v>
          </cell>
        </row>
        <row r="21">
          <cell r="B21">
            <v>2011</v>
          </cell>
          <cell r="C21" t="str">
            <v>TRANSPORTE DE MATERIALES HASTA 6km</v>
          </cell>
          <cell r="D21" t="str">
            <v>m3</v>
          </cell>
        </row>
        <row r="22">
          <cell r="B22">
            <v>2012</v>
          </cell>
          <cell r="C22" t="str">
            <v>SOBREACARREO DE MATERIALES PARA DESALOJO DISTANCIA &gt;6km</v>
          </cell>
          <cell r="D22" t="str">
            <v>m3/km</v>
          </cell>
        </row>
        <row r="23">
          <cell r="B23">
            <v>3</v>
          </cell>
          <cell r="C23" t="str">
            <v>EDIFICIO</v>
          </cell>
          <cell r="D23"/>
        </row>
        <row r="24">
          <cell r="B24">
            <v>3001</v>
          </cell>
          <cell r="C24" t="str">
            <v>HORMIGÓN ARMADO</v>
          </cell>
          <cell r="D24" t="str">
            <v/>
          </cell>
        </row>
        <row r="25">
          <cell r="B25">
            <v>3001001</v>
          </cell>
          <cell r="C25" t="str">
            <v>Replantillo de hormigón simple f´c=140 kg/cm2 (preparado en obra)</v>
          </cell>
          <cell r="D25" t="str">
            <v>m3</v>
          </cell>
        </row>
        <row r="26">
          <cell r="B26">
            <v>3001002</v>
          </cell>
          <cell r="C26" t="str">
            <v>HORMIGON SIMPLE f´c=240kg/cm2. PREMEZCLADO Y BOMBEADO</v>
          </cell>
          <cell r="D26" t="str">
            <v>m3</v>
          </cell>
        </row>
        <row r="27">
          <cell r="B27">
            <v>3001003</v>
          </cell>
          <cell r="C27" t="str">
            <v>HORMIGON SIMPLE f´c=240kg/cm2. PREPARADO EN OBRA</v>
          </cell>
          <cell r="D27" t="str">
            <v>m3</v>
          </cell>
        </row>
        <row r="28">
          <cell r="B28">
            <v>3001004</v>
          </cell>
          <cell r="C28" t="str">
            <v>HORMIGON SIMPLE f´c=240kg/cm2. CON IMPERMEABILIZANTE INTEGRADO, PREMEZCLADO Y BOMBEADO</v>
          </cell>
          <cell r="D28" t="str">
            <v>m3</v>
          </cell>
        </row>
        <row r="29">
          <cell r="B29">
            <v>3001005</v>
          </cell>
          <cell r="C29" t="str">
            <v>HORMIGON SIMPLE f´c=300kg/cm2, PREMEZCLADO Y BOMBEADO</v>
          </cell>
          <cell r="D29" t="str">
            <v>m3</v>
          </cell>
        </row>
        <row r="30">
          <cell r="B30">
            <v>3001006</v>
          </cell>
          <cell r="C30" t="str">
            <v>HORMIGON SIMPLE f´c=300kg/cm2, PREMEZCLADO Y BOMBEADO CON IMPERMEABILIZANTE INTEGRADO</v>
          </cell>
          <cell r="D30" t="str">
            <v>m3</v>
          </cell>
        </row>
        <row r="31">
          <cell r="B31">
            <v>3001007</v>
          </cell>
          <cell r="C31" t="str">
            <v>HORMIGÓN CICLOPEO (50% H.S. + 50% PIEDRA) f´c=240kg/cm2</v>
          </cell>
          <cell r="D31" t="str">
            <v>m3</v>
          </cell>
        </row>
        <row r="32">
          <cell r="B32">
            <v>3002</v>
          </cell>
          <cell r="C32" t="str">
            <v>ACERO</v>
          </cell>
          <cell r="D32"/>
        </row>
        <row r="33">
          <cell r="B33">
            <v>3002001</v>
          </cell>
          <cell r="C33" t="str">
            <v>ACERO DE REFUERZO fy=4200 kg/cm2, CORTADO Y FIGURADO</v>
          </cell>
          <cell r="D33" t="str">
            <v>kg</v>
          </cell>
        </row>
        <row r="34">
          <cell r="B34">
            <v>3002002</v>
          </cell>
          <cell r="C34" t="str">
            <v>Suministro y Colocación de Malla electrosoldada 6mm c/15cm</v>
          </cell>
          <cell r="D34" t="str">
            <v>m2</v>
          </cell>
        </row>
        <row r="35">
          <cell r="B35">
            <v>3002003</v>
          </cell>
          <cell r="C35" t="str">
            <v>Suministro y Colocación de Malla electrosoldada 4.5mm c/15cm</v>
          </cell>
          <cell r="D35" t="str">
            <v>m2</v>
          </cell>
        </row>
        <row r="36">
          <cell r="B36">
            <v>3002004</v>
          </cell>
          <cell r="C36" t="str">
            <v>Suministro y colocación de Malla electrosoldada 6mm c/10cm</v>
          </cell>
          <cell r="D36" t="str">
            <v>m2</v>
          </cell>
        </row>
        <row r="37">
          <cell r="B37">
            <v>3002005</v>
          </cell>
          <cell r="C37" t="str">
            <v>Suministro y Colocación de Malla electrosoldada 10mm c/15cm</v>
          </cell>
          <cell r="D37" t="str">
            <v>m2</v>
          </cell>
        </row>
        <row r="38">
          <cell r="B38">
            <v>3002006</v>
          </cell>
          <cell r="C38" t="str">
            <v>ACERO ESTRUCTURAL EN PERFILES: SUMINISTRO Y COLOCACION EN OBRA</v>
          </cell>
          <cell r="D38" t="str">
            <v>kg</v>
          </cell>
        </row>
        <row r="39">
          <cell r="B39">
            <v>3003</v>
          </cell>
          <cell r="C39" t="str">
            <v>ENCOFRADOS</v>
          </cell>
          <cell r="D39"/>
        </row>
        <row r="40">
          <cell r="B40">
            <v>3003001</v>
          </cell>
          <cell r="C40" t="str">
            <v>ENCOFRADO RECTO DE MADERA (3 USOS)</v>
          </cell>
          <cell r="D40" t="str">
            <v>m2</v>
          </cell>
        </row>
        <row r="41">
          <cell r="B41">
            <v>3003002</v>
          </cell>
          <cell r="C41" t="str">
            <v>Encofrado de madera para muros con apuntalamiento metalico con refuerzos de madera (3 usos)</v>
          </cell>
          <cell r="D41" t="str">
            <v>m2</v>
          </cell>
        </row>
        <row r="42">
          <cell r="B42">
            <v>3003003</v>
          </cell>
          <cell r="C42" t="str">
            <v>Encofrado de madera para columnas con apuntalamiento metalico (3 usos)</v>
          </cell>
          <cell r="D42" t="str">
            <v>m2</v>
          </cell>
        </row>
        <row r="43">
          <cell r="B43">
            <v>3003004</v>
          </cell>
          <cell r="C43" t="str">
            <v>Encofrado de madera para losas con apuntalamiento metálico (3 usos)</v>
          </cell>
          <cell r="D43" t="str">
            <v>m2</v>
          </cell>
        </row>
        <row r="44">
          <cell r="B44">
            <v>3003005</v>
          </cell>
          <cell r="C44" t="str">
            <v>Encofrado de madera para gradas (3 usos)</v>
          </cell>
          <cell r="D44" t="str">
            <v>m2</v>
          </cell>
        </row>
        <row r="45">
          <cell r="B45">
            <v>3003006</v>
          </cell>
          <cell r="C45" t="str">
            <v>ENCOFRADO DE MADERA PARA COLUMNETAS (3 usos)</v>
          </cell>
          <cell r="D45" t="str">
            <v>m2</v>
          </cell>
        </row>
        <row r="46">
          <cell r="B46">
            <v>3003007</v>
          </cell>
          <cell r="C46" t="str">
            <v>Encofrado de madera recto con apuntalamiento metalico (3 usos)</v>
          </cell>
          <cell r="D46" t="str">
            <v>m2</v>
          </cell>
        </row>
        <row r="47">
          <cell r="B47">
            <v>3003008</v>
          </cell>
          <cell r="C47" t="str">
            <v>ENCOFRADO DE MADERA CON APUNTALAMIENTO METÁLICO PARA DINTELES (3 USOS)</v>
          </cell>
          <cell r="D47" t="str">
            <v>m</v>
          </cell>
        </row>
        <row r="48">
          <cell r="B48">
            <v>3004</v>
          </cell>
          <cell r="C48" t="str">
            <v>ALIVIANAMIENTOS</v>
          </cell>
          <cell r="D48"/>
        </row>
        <row r="49">
          <cell r="B49">
            <v>3004001</v>
          </cell>
          <cell r="C49" t="str">
            <v>SUMINISTRO Y COLOCACIÓN DE BLOQUES DE POMEZ DE 40 X 20 X 20cm PARA ALIVIANAMIENTO DE LOSAS</v>
          </cell>
          <cell r="D49" t="str">
            <v>u</v>
          </cell>
        </row>
        <row r="50">
          <cell r="B50">
            <v>3004002</v>
          </cell>
          <cell r="C50" t="str">
            <v>SUMINISTRO Y COLOCACIÓN DE CASETONES PLÁSTICOS DE 40 X 40 X 20 cm (10 USOS)</v>
          </cell>
          <cell r="D50" t="str">
            <v>U</v>
          </cell>
        </row>
        <row r="51">
          <cell r="B51">
            <v>3004003</v>
          </cell>
          <cell r="C51" t="str">
            <v>SUMINISTRO Y COLOCACIÓN DE BLOQUES DE POMEZ DE 40 X 20 X 10cm PARA RELLENO EN CONTRAPISOS</v>
          </cell>
          <cell r="D51" t="str">
            <v>u</v>
          </cell>
        </row>
        <row r="52">
          <cell r="B52">
            <v>3005</v>
          </cell>
          <cell r="C52" t="str">
            <v>MAMPOSTERÍA</v>
          </cell>
          <cell r="D52"/>
        </row>
        <row r="53">
          <cell r="B53">
            <v>3005001</v>
          </cell>
          <cell r="C53" t="str">
            <v>MAMPOSTERÍA CON LADRILLO ESTRIADO DE 7 x 30 x 41 cm</v>
          </cell>
          <cell r="D53" t="str">
            <v>m2</v>
          </cell>
        </row>
        <row r="54">
          <cell r="B54">
            <v>3005002</v>
          </cell>
          <cell r="C54" t="str">
            <v>MAMPOSTERIA CON LADRILLO VISTO DE 29x10x10cm.</v>
          </cell>
          <cell r="D54" t="str">
            <v>m2</v>
          </cell>
        </row>
        <row r="55">
          <cell r="B55">
            <v>3005003</v>
          </cell>
          <cell r="C55" t="str">
            <v>LIMPIEZA Y PROTECCIÓN DE LADRILLO VISTO</v>
          </cell>
          <cell r="D55" t="str">
            <v>m2</v>
          </cell>
        </row>
        <row r="56">
          <cell r="B56">
            <v>3006</v>
          </cell>
          <cell r="C56" t="str">
            <v>REVESTIMIENTOS</v>
          </cell>
          <cell r="D56"/>
        </row>
        <row r="57">
          <cell r="B57">
            <v>3006001</v>
          </cell>
          <cell r="C57" t="str">
            <v>SUMINISTRO E INSTALACIÓN DE PLANCHAS DE YESO CARTÓN DE 12.7 mm PARA REVESTIMIENTO DE PAREDES INTERIORES (INCLUYE EMPASTE DE JUNTAS)</v>
          </cell>
          <cell r="D57" t="str">
            <v>m2</v>
          </cell>
        </row>
        <row r="58">
          <cell r="B58">
            <v>3006002</v>
          </cell>
          <cell r="C58" t="str">
            <v>SUMINISTRO Y APLICACIÓN DE PINTURA PARA PAREDES INTERIORES SOBRE PLACAS DE YESO CARTON</v>
          </cell>
          <cell r="D58" t="str">
            <v>m2</v>
          </cell>
        </row>
        <row r="59">
          <cell r="B59">
            <v>3006003</v>
          </cell>
          <cell r="C59" t="str">
            <v>ENLUCIDO PARA COLOCACIÓN DE CERÁMICA EN PAREDES.</v>
          </cell>
          <cell r="D59" t="str">
            <v>m2</v>
          </cell>
        </row>
        <row r="60">
          <cell r="B60">
            <v>3006004</v>
          </cell>
          <cell r="C60" t="str">
            <v>SUMINISTRO Y APLICACIÓN DE EMPASTADO PARA INTERIORES</v>
          </cell>
          <cell r="D60" t="str">
            <v>m2</v>
          </cell>
        </row>
        <row r="61">
          <cell r="B61">
            <v>3006005</v>
          </cell>
          <cell r="C61" t="str">
            <v>SUMINISTRO Y APLICACIÓN DE PINTURA SOBRE EMPASTADO PARA INTERIORES.</v>
          </cell>
          <cell r="D61" t="str">
            <v>m2</v>
          </cell>
        </row>
        <row r="62">
          <cell r="B62">
            <v>3006006</v>
          </cell>
          <cell r="C62" t="str">
            <v>ENLUCIDO DE FILOS CON MORTERO</v>
          </cell>
          <cell r="D62" t="str">
            <v>m</v>
          </cell>
        </row>
        <row r="63">
          <cell r="B63">
            <v>3006007</v>
          </cell>
          <cell r="C63" t="str">
            <v>ENLUCIDO PARA EXTERIORES CON MORTERO CEMENTICIO PREFABRICADO PARA ARCILLA</v>
          </cell>
          <cell r="D63" t="str">
            <v>m2</v>
          </cell>
        </row>
        <row r="64">
          <cell r="B64">
            <v>3006008</v>
          </cell>
          <cell r="C64" t="str">
            <v>PINTURA LATEX PARA EXTERIORES SOBRE LADRILLO (INCLUYE FONDO O BASE)</v>
          </cell>
          <cell r="D64" t="str">
            <v>m2</v>
          </cell>
        </row>
        <row r="65">
          <cell r="B65">
            <v>3006009</v>
          </cell>
          <cell r="C65" t="str">
            <v>SUMINISTRO E INSTALACION DE CERÁMICA EN PAREDES</v>
          </cell>
          <cell r="D65" t="str">
            <v>m2</v>
          </cell>
        </row>
        <row r="66">
          <cell r="B66">
            <v>3006010</v>
          </cell>
          <cell r="C66" t="str">
            <v>SUMINISTRO E INSTALACION DE PORCELANATO EN PISO</v>
          </cell>
          <cell r="D66" t="str">
            <v>m2</v>
          </cell>
        </row>
        <row r="67">
          <cell r="B67">
            <v>3006011</v>
          </cell>
          <cell r="C67" t="str">
            <v>SUMINISTRO Y REVESTIMIENTO DE LADRILLO FACHALETA PARA RECUBRIMIENTO DE LOSA DE 7.5x25cm</v>
          </cell>
          <cell r="D67" t="str">
            <v>m2</v>
          </cell>
        </row>
        <row r="68">
          <cell r="B68">
            <v>3006012</v>
          </cell>
          <cell r="C68" t="str">
            <v>SUMINISTRO Y REVESTIMIENTO DE GRADAS CON PORCELANATO Y GRANILLO</v>
          </cell>
          <cell r="D68" t="str">
            <v>m2</v>
          </cell>
        </row>
        <row r="69">
          <cell r="B69">
            <v>3006013</v>
          </cell>
          <cell r="C69" t="str">
            <v>SUMINISTRO E INSTALACION DE RASTRERA DE PORCELANATO h=10cm</v>
          </cell>
          <cell r="D69" t="str">
            <v>m</v>
          </cell>
        </row>
        <row r="70">
          <cell r="B70">
            <v>3006014</v>
          </cell>
          <cell r="C70" t="str">
            <v>SUMINISTRO E INSTALACIÓN DE MESÓN DE GRANITO NATURAL</v>
          </cell>
          <cell r="D70" t="str">
            <v>m</v>
          </cell>
        </row>
        <row r="71">
          <cell r="B71">
            <v>3006015</v>
          </cell>
          <cell r="C71" t="str">
            <v>SUMINISTRO Y APLICACIÓN DE PINTURA BAJO LOSA NERVADA DE PARQUEADERO</v>
          </cell>
          <cell r="D71" t="str">
            <v>m2</v>
          </cell>
        </row>
        <row r="72">
          <cell r="B72">
            <v>3006016</v>
          </cell>
          <cell r="C72" t="str">
            <v>SUMINISTRO Y COLOCACIÓN DE ADOQUIN BISELADO DE ARCILLA EN COLOR CLARO PARA PISO DE PLAZOLETA (inc plastico base)</v>
          </cell>
          <cell r="D72" t="str">
            <v>m2</v>
          </cell>
        </row>
        <row r="73">
          <cell r="B73">
            <v>3006017</v>
          </cell>
          <cell r="C73" t="str">
            <v>SUMINISTRO Y COLOCACIÓN DE ADOQUIN BISELADO DE ARCILLA EN COLOR OBSCURO PARA PISO DE PLAZOLETA (inc plastico base)</v>
          </cell>
          <cell r="D73" t="str">
            <v>m2</v>
          </cell>
        </row>
        <row r="74">
          <cell r="B74">
            <v>3007</v>
          </cell>
          <cell r="C74" t="str">
            <v>CARPINTERÍA DE MADERA</v>
          </cell>
          <cell r="D74"/>
        </row>
        <row r="75">
          <cell r="B75">
            <v>3007001</v>
          </cell>
          <cell r="C75" t="str">
            <v>PUERTA PRINCIPAL DE 2 CUERPOS 205x120cm, MACIZA CON TABLEROS DE MDP DE 36mm, CON MARCOS Y TAPAMARCOS (INCLUYE CERRADURA DE P.PRICIPAL)</v>
          </cell>
          <cell r="D75" t="str">
            <v>u</v>
          </cell>
        </row>
        <row r="76">
          <cell r="B76">
            <v>3007002</v>
          </cell>
          <cell r="C76" t="str">
            <v>PUERTA DE 205x90cm,  MACIZA CON TABLEROS DE MDP DE 36mm, CON MARCOS Y TAPAMARCOS  (INCLUYE CERRADURA DE POMO)</v>
          </cell>
          <cell r="D76" t="str">
            <v>u</v>
          </cell>
        </row>
        <row r="77">
          <cell r="B77">
            <v>3007003</v>
          </cell>
          <cell r="C77" t="str">
            <v>PUERTA DE 205x70cm,  MACIZA CON TABLEROS DE MDP DE 36mm, CON MARCOS Y TAPAMARCOS  (INCLUYE CERRADURA DE POMO)</v>
          </cell>
          <cell r="D77" t="str">
            <v>u</v>
          </cell>
        </row>
        <row r="78">
          <cell r="B78">
            <v>3007004</v>
          </cell>
          <cell r="C78" t="str">
            <v>SUMINISTRO E INSTALACIÓN DE CLOSET DE 1.50 mts CON TABLERO MELAMINICO BLANCO Y FRENTE MELAMINICO MADERADO</v>
          </cell>
          <cell r="D78" t="str">
            <v>u</v>
          </cell>
        </row>
        <row r="79">
          <cell r="B79">
            <v>3007005</v>
          </cell>
          <cell r="C79" t="str">
            <v>SUMINISTRO E INSTALACIÓN DE CLOSET DE 1.90 mts CON TABLERO MELAMINICO BLANCO Y FRENTE MELAMINICO MADERADO</v>
          </cell>
          <cell r="D79" t="str">
            <v>u</v>
          </cell>
        </row>
        <row r="80">
          <cell r="B80">
            <v>3007006</v>
          </cell>
          <cell r="C80" t="str">
            <v>SUMINISTRO E INSTALACIÓN DE MUEBLE DE COCINA CON GABINETES ALTOS Y BAJOS EN TABLERO MELAMINICO BLANCO CON FRENTE MELAMINICO MADERADO (Incluye estructura desayunador)</v>
          </cell>
          <cell r="D80" t="str">
            <v>u</v>
          </cell>
        </row>
        <row r="81">
          <cell r="B81">
            <v>3007007</v>
          </cell>
          <cell r="C81" t="str">
            <v>SUMINISTRO E INSTALACIÓN DE MUEBLE PARA LAVAMANO CON TABLERO AGLOMERADO MELAMINICO BLANCO CON FRENTE MELAMINICO MADERADO</v>
          </cell>
          <cell r="D81" t="str">
            <v>m</v>
          </cell>
        </row>
        <row r="82">
          <cell r="B82">
            <v>3007008</v>
          </cell>
          <cell r="C82" t="str">
            <v>SUMINISTRO E INSTALACION DE PUERTA EN MDF LACADA DE 180 x 55cm PARA CUARTO DE DUCTOS</v>
          </cell>
          <cell r="D82" t="str">
            <v>u</v>
          </cell>
        </row>
        <row r="83">
          <cell r="B83">
            <v>3007009</v>
          </cell>
          <cell r="C83" t="str">
            <v>SUMINISTRO E INSTALACION DE PUERTA MDF LACADA DE 40 x 60 cm PARA DUCTOS</v>
          </cell>
          <cell r="D83" t="str">
            <v>U</v>
          </cell>
        </row>
        <row r="84">
          <cell r="B84">
            <v>3008</v>
          </cell>
          <cell r="C84" t="str">
            <v>CARPINTERÍA METÁLICA</v>
          </cell>
          <cell r="D84"/>
        </row>
        <row r="85">
          <cell r="B85">
            <v>3008001</v>
          </cell>
          <cell r="C85" t="str">
            <v>SUMINISTRO E INSTALACION DE PUERTA DE 2 CUERPOS DE 215 X 138 cm PARA SALIDA DE EMERGENCIA. CON BARRA DE ACIONAMIENTO RÁPIDO, MARCOS, MOLDURA</v>
          </cell>
          <cell r="D85" t="str">
            <v>U</v>
          </cell>
        </row>
        <row r="86">
          <cell r="B86">
            <v>3008002</v>
          </cell>
          <cell r="C86" t="str">
            <v>SUMINISTRO E INSTALACION DE REJILLA METALICA PARA VENTILACIÓN DE 40 x 100 cm CON PINTURA ANTICORROSIVA</v>
          </cell>
          <cell r="D86" t="str">
            <v>U</v>
          </cell>
        </row>
        <row r="87">
          <cell r="B87">
            <v>3008003</v>
          </cell>
          <cell r="C87" t="str">
            <v>SUMINISTRO E INSTALACIÓN DE VENTANA EN SISTEMA PROYECTABLE DE ALUMINIO BRONCE DE 60 x 135 cm Y VIDRIO DESLUSTRADO de 4mm</v>
          </cell>
          <cell r="D87" t="str">
            <v>m2</v>
          </cell>
        </row>
        <row r="88">
          <cell r="B88">
            <v>3008004</v>
          </cell>
          <cell r="C88" t="str">
            <v>SUMINISTRO E INSTALACIÓN DE VENTANA EN SISTEMA PROYECTABLE DE ALUMINIO BRONCE DE 180 x 134 cm, Y VIDRIO BRONCE DE 4mm.</v>
          </cell>
          <cell r="D88" t="str">
            <v>m2</v>
          </cell>
        </row>
        <row r="89">
          <cell r="B89">
            <v>3008005</v>
          </cell>
          <cell r="C89" t="str">
            <v>SUMINISTRO E INSTALACIÓN DE VENTANA EN SISTEMA PROYECTABLE DE ALUMINIO BRONCE DE 180 x 225 cm Y VIDRIO BRONCE DE 4 y 6mm</v>
          </cell>
          <cell r="D89" t="str">
            <v>m2</v>
          </cell>
        </row>
        <row r="90">
          <cell r="B90">
            <v>3008006</v>
          </cell>
          <cell r="C90" t="str">
            <v>SUMINISTRO E INSTALACIÓN DE VENTANA EN SISTEMA PROYECTABLE  DE ALUMINIO BRONCE DE 360 x 225cm Y VIDRIO BRONCE DE 4 y 6mm.</v>
          </cell>
          <cell r="D90" t="str">
            <v>m2</v>
          </cell>
        </row>
        <row r="91">
          <cell r="B91">
            <v>3008007</v>
          </cell>
          <cell r="C91" t="str">
            <v>SUMINISTRO E INSTALACIÓN DE VENTANA FIJA DE ALUMINIO BRONCE DE 1.40 x 2.70m Y VIDRIO BRONCE DE 4 y 6mm.</v>
          </cell>
          <cell r="D91" t="str">
            <v>m2</v>
          </cell>
        </row>
        <row r="92">
          <cell r="B92">
            <v>3008008</v>
          </cell>
          <cell r="C92" t="str">
            <v>SUMINISTRO E INSTALACIÓN DE PUERTA DE ALUMINIO BRONCE 2 HOJAS DE 1,4 X 2,7m DE VIDRIO BRONCE e=10mm (PARA INGRESO PRINCIPAL)</v>
          </cell>
          <cell r="D92" t="str">
            <v>u</v>
          </cell>
        </row>
        <row r="93">
          <cell r="B93">
            <v>3008009</v>
          </cell>
          <cell r="C93" t="str">
            <v>SUMINISTRO E INSTALACIÓN DE PASAMANO DE ACERO INOXIDABLE</v>
          </cell>
          <cell r="D93" t="str">
            <v>m</v>
          </cell>
        </row>
        <row r="94">
          <cell r="B94">
            <v>3008010</v>
          </cell>
          <cell r="C94" t="str">
            <v>SUMINISTRO Y COLOCACIÓN DE LAMAS DE PERFIL METÁLICO PINTADA CON PINTURA AUTOMOTRIZ</v>
          </cell>
          <cell r="D94" t="str">
            <v>M</v>
          </cell>
        </row>
        <row r="95">
          <cell r="B95">
            <v>3008011</v>
          </cell>
          <cell r="C95" t="str">
            <v>SUMINISTRO Y COLOCACIÓN DE PUERTA METÁLICA CORREDIZA DE ACCESO A PARQUEADEROS</v>
          </cell>
          <cell r="D95" t="str">
            <v>u</v>
          </cell>
        </row>
        <row r="96">
          <cell r="B96">
            <v>3008012</v>
          </cell>
          <cell r="C96" t="str">
            <v>SUMINISTRO E INSTALACIÓN DE PASAMANOS DE HIERRO PARA GRADA DE EMERGENCIA</v>
          </cell>
          <cell r="D96" t="str">
            <v>m</v>
          </cell>
        </row>
        <row r="97">
          <cell r="B97">
            <v>3008013</v>
          </cell>
          <cell r="C97" t="str">
            <v>SUMINISTRO E INSTALACIÓN DE PLANCHA ESTRUCTURAL TIPO REJILLA PARA HUELLA</v>
          </cell>
          <cell r="D97" t="str">
            <v>m2</v>
          </cell>
        </row>
        <row r="98">
          <cell r="B98">
            <v>3008014</v>
          </cell>
          <cell r="C98" t="str">
            <v>PUERTA METÁLICA DE 90 X 210m PARA BODEGAS</v>
          </cell>
          <cell r="D98" t="str">
            <v>u</v>
          </cell>
        </row>
        <row r="99">
          <cell r="B99">
            <v>3008015</v>
          </cell>
          <cell r="C99" t="str">
            <v>PUERTA METÁLICA DE 150 X 210cm PARA CUARTOS DE MAQUINAS Y DEPOSITO DE BASURA</v>
          </cell>
          <cell r="D99" t="str">
            <v>u</v>
          </cell>
        </row>
        <row r="100">
          <cell r="B100">
            <v>3009</v>
          </cell>
          <cell r="C100" t="str">
            <v>CIELOS RASOS</v>
          </cell>
          <cell r="D100"/>
        </row>
        <row r="101">
          <cell r="B101">
            <v>3009001</v>
          </cell>
          <cell r="C101" t="str">
            <v>SUMINISTRO Y COLOCACIÓN DE CIELO RASO DE ESTUCO LISO EMPASTADO</v>
          </cell>
          <cell r="D101" t="str">
            <v>m2</v>
          </cell>
        </row>
        <row r="102">
          <cell r="B102">
            <v>3010</v>
          </cell>
          <cell r="C102" t="str">
            <v>IMPERMEABILIZACIONES</v>
          </cell>
          <cell r="D102"/>
        </row>
        <row r="103">
          <cell r="B103">
            <v>3010001</v>
          </cell>
          <cell r="C103" t="str">
            <v>IMPERMEABILIZACIÓN DE LOSAS CON LAMINA ASFALTICA</v>
          </cell>
          <cell r="D103" t="str">
            <v>m2</v>
          </cell>
        </row>
        <row r="104">
          <cell r="B104">
            <v>3010002</v>
          </cell>
          <cell r="C104" t="str">
            <v>IMPERMEABILIZACIÓN PARA CISTERNA CON MEMBRANA DE PVC DE 1,2mm, PLASTIFICADA, CON ARMADURA DE FIBRA DE POLIESTER (para agua potable)</v>
          </cell>
          <cell r="D104" t="str">
            <v>m2</v>
          </cell>
        </row>
        <row r="105">
          <cell r="B105">
            <v>3010003</v>
          </cell>
          <cell r="C105" t="str">
            <v>Suministro y Colocación de perfil de pvc para sellante perimetral de membrana de pvc</v>
          </cell>
          <cell r="D105" t="str">
            <v>m</v>
          </cell>
        </row>
        <row r="106">
          <cell r="B106">
            <v>3011</v>
          </cell>
          <cell r="C106" t="str">
            <v>PISOS</v>
          </cell>
          <cell r="D106"/>
        </row>
        <row r="107">
          <cell r="B107">
            <v>3011001</v>
          </cell>
          <cell r="C107" t="str">
            <v>SUMINISTRO Y COLOCACIÓN DE PISO FLOTANTE DE ALTO TRÁFICO DE 8mm</v>
          </cell>
          <cell r="D107" t="str">
            <v>m2</v>
          </cell>
        </row>
        <row r="108">
          <cell r="B108">
            <v>3011002</v>
          </cell>
          <cell r="C108" t="str">
            <v>SUMINISTRO E INSTALACION DE BARREDERA MDF LACADA h=8 cm</v>
          </cell>
          <cell r="D108" t="str">
            <v>m</v>
          </cell>
        </row>
        <row r="109">
          <cell r="B109">
            <v>3011003</v>
          </cell>
          <cell r="C109" t="str">
            <v>SUMINISTRO E INSTALACION DE PERFIL Y TERMINALES PARA PISO FLOTANTE</v>
          </cell>
          <cell r="D109" t="str">
            <v>m</v>
          </cell>
        </row>
        <row r="110">
          <cell r="B110">
            <v>3012</v>
          </cell>
          <cell r="C110" t="str">
            <v>CUBIERTAS</v>
          </cell>
          <cell r="D110"/>
        </row>
        <row r="111">
          <cell r="B111">
            <v>3012001</v>
          </cell>
          <cell r="C111" t="str">
            <v>SUMINISTRO Y COLOCACIÓN DE PLACAS ONDULADAS DE FIBROCEMENTO</v>
          </cell>
          <cell r="D111" t="str">
            <v>m2</v>
          </cell>
        </row>
        <row r="112">
          <cell r="B112">
            <v>3012002</v>
          </cell>
          <cell r="C112" t="str">
            <v>SUMINISTRO Y PINTURA COLOR TEJA EN CANALES DE PLANCHA DE FIBROCEMENTO</v>
          </cell>
          <cell r="D112" t="str">
            <v>m2</v>
          </cell>
        </row>
        <row r="113">
          <cell r="B113">
            <v>3012003</v>
          </cell>
          <cell r="C113" t="str">
            <v>SUMINISTRO Y COLOCACIÓN DE CUMBRERO DE TEJA (incluye imperabilización)</v>
          </cell>
          <cell r="D113" t="str">
            <v>m</v>
          </cell>
        </row>
        <row r="114">
          <cell r="B114">
            <v>3012004</v>
          </cell>
          <cell r="C114" t="str">
            <v>SUMINISTRO Y COLOCACIÓN DE LAGRIMERO CON LADRILLO DE OBRA (INCLUYE LÁMINA DE ZINC)</v>
          </cell>
          <cell r="D114" t="str">
            <v>m</v>
          </cell>
        </row>
        <row r="115">
          <cell r="B115">
            <v>3012005</v>
          </cell>
          <cell r="C115" t="str">
            <v>SUMINISTRO Y COLOCACIÓN DE TEJAS SOBRE CUBIERTA DE FIBROCEMENTO SOLO TAPAS</v>
          </cell>
          <cell r="D115" t="str">
            <v>m2</v>
          </cell>
        </row>
        <row r="116">
          <cell r="B116">
            <v>3012006</v>
          </cell>
          <cell r="C116" t="str">
            <v>SUMINISTRO E INSTALACIÓN DE CANALES DE ZINC TRAPEZOIDAL</v>
          </cell>
          <cell r="D116" t="str">
            <v>m</v>
          </cell>
        </row>
        <row r="117">
          <cell r="B117">
            <v>3012007</v>
          </cell>
          <cell r="C117" t="str">
            <v>SUMINISTRO E INSTALACIÓN DE BAJANTES DE ZINC RECTANGULARES</v>
          </cell>
          <cell r="D117" t="str">
            <v>m</v>
          </cell>
        </row>
        <row r="118">
          <cell r="B118">
            <v>4</v>
          </cell>
          <cell r="C118" t="str">
            <v>INSTALACIONES</v>
          </cell>
          <cell r="D118"/>
        </row>
        <row r="119">
          <cell r="B119">
            <v>4001</v>
          </cell>
          <cell r="C119" t="str">
            <v>INSTALACIONES ELÉCTRICAS</v>
          </cell>
          <cell r="D119"/>
        </row>
        <row r="120">
          <cell r="B120">
            <v>4001001</v>
          </cell>
          <cell r="C120" t="str">
            <v>SUMINISTRO E INSTALACION DE TOMACORRIENTE POLARIZADO</v>
          </cell>
          <cell r="D120" t="str">
            <v>u</v>
          </cell>
        </row>
        <row r="121">
          <cell r="B121">
            <v>4001002</v>
          </cell>
          <cell r="C121" t="str">
            <v>SUMINISTRO E INSTALACION DE INTERRUPTOR SIMPLE</v>
          </cell>
          <cell r="D121" t="str">
            <v>u</v>
          </cell>
        </row>
        <row r="122">
          <cell r="B122">
            <v>4001003</v>
          </cell>
          <cell r="C122" t="str">
            <v>SUMINISTRO E INSTALACION DE CONMUTADOR SIMPLE</v>
          </cell>
          <cell r="D122" t="str">
            <v>u</v>
          </cell>
        </row>
        <row r="123">
          <cell r="B123">
            <v>4001004</v>
          </cell>
          <cell r="C123" t="str">
            <v>SUMINISTRO E INSTALACION DE INTERRUPTOR DOBLE</v>
          </cell>
          <cell r="D123" t="str">
            <v>u</v>
          </cell>
        </row>
        <row r="124">
          <cell r="B124">
            <v>4001005</v>
          </cell>
          <cell r="C124" t="str">
            <v>SUMINISTRO E INSTALACION DE INTERRUPTOR - CONMUTADOR</v>
          </cell>
          <cell r="D124" t="str">
            <v>u</v>
          </cell>
        </row>
        <row r="125">
          <cell r="B125">
            <v>4001006</v>
          </cell>
          <cell r="C125" t="str">
            <v>SUMINISTRO E INSTALACION DE CENTRO DE CARGA MONOFASICO 6 ESPACIOS</v>
          </cell>
          <cell r="D125" t="str">
            <v>u</v>
          </cell>
        </row>
        <row r="126">
          <cell r="B126">
            <v>4001007</v>
          </cell>
          <cell r="C126" t="str">
            <v>SUMINISTRO E INSTALACION DE CENTRO DE CARGA TRIFASICO 20 ESPACIOS</v>
          </cell>
          <cell r="D126" t="str">
            <v>u</v>
          </cell>
        </row>
        <row r="127">
          <cell r="B127">
            <v>4001008</v>
          </cell>
          <cell r="C127" t="str">
            <v>SUMINISTRO E INSTALACION DE CENTRO DE CARGA TRIFASICO 12 ESPACIOS</v>
          </cell>
          <cell r="D127" t="str">
            <v>u</v>
          </cell>
        </row>
        <row r="128">
          <cell r="B128">
            <v>4001009</v>
          </cell>
          <cell r="C128" t="str">
            <v>SUMINISTRO E INSTALACION TABLERO DE MEDICION 3F PARA 53 MEDIDORES  COMPLETOS (INCLUYE ACCESORIOS)</v>
          </cell>
          <cell r="D128" t="str">
            <v>u</v>
          </cell>
        </row>
        <row r="129">
          <cell r="B129">
            <v>4001010</v>
          </cell>
          <cell r="C129" t="str">
            <v>SUMINISTRO Y TENDIDO DE CABLE CONDUCTOR #14 AWG, THW</v>
          </cell>
          <cell r="D129" t="str">
            <v>m</v>
          </cell>
        </row>
        <row r="130">
          <cell r="B130">
            <v>4001011</v>
          </cell>
          <cell r="C130" t="str">
            <v>SUMINISTRO Y TENDIDO DE CABLE CONDUCTOR #12 AWG, THW</v>
          </cell>
          <cell r="D130" t="str">
            <v>m</v>
          </cell>
        </row>
        <row r="131">
          <cell r="B131">
            <v>4001012</v>
          </cell>
          <cell r="C131" t="str">
            <v>SUMINISTRO Y TENDIDO DE CABLE CONDUCTOR #10 AWG, THW</v>
          </cell>
          <cell r="D131" t="str">
            <v>m</v>
          </cell>
        </row>
        <row r="132">
          <cell r="B132">
            <v>4001013</v>
          </cell>
          <cell r="C132" t="str">
            <v>SUMINISTRO Y TENDIDO DE CABLE CONDUCTOR #8 AWG, THW</v>
          </cell>
          <cell r="D132" t="str">
            <v>m</v>
          </cell>
        </row>
        <row r="133">
          <cell r="B133">
            <v>4001014</v>
          </cell>
          <cell r="C133" t="str">
            <v>SUMINISTRO E INSTALACIÓN DE PUNTO DE LUZ EN OJO DE BUEY FIJO 1*20W</v>
          </cell>
          <cell r="D133" t="str">
            <v>u</v>
          </cell>
        </row>
        <row r="134">
          <cell r="B134">
            <v>4001015</v>
          </cell>
          <cell r="C134" t="str">
            <v>SUMINISTRO E INSTALACIÓN DE PUNTO DE LUZ EN BOQUILLA TIPO PLAFON SOBREPUESTO</v>
          </cell>
          <cell r="D134" t="str">
            <v>u</v>
          </cell>
        </row>
        <row r="135">
          <cell r="B135">
            <v>4001016</v>
          </cell>
          <cell r="C135" t="str">
            <v>SUMINISTRO E INSTALACION DE FOCO AHORRADOR</v>
          </cell>
          <cell r="D135" t="str">
            <v>u</v>
          </cell>
        </row>
        <row r="136">
          <cell r="B136">
            <v>4001017</v>
          </cell>
          <cell r="C136" t="str">
            <v>SUMINISTRO E INSTALACION DE LUMINARIA FLUORESCENTE 2x32w</v>
          </cell>
          <cell r="D136" t="str">
            <v>u</v>
          </cell>
        </row>
        <row r="137">
          <cell r="B137">
            <v>4001018</v>
          </cell>
          <cell r="C137" t="str">
            <v>SUMINISTRO Y TENDIDO DE CABLE CONDUCTOR COAXIAL TV HD</v>
          </cell>
          <cell r="D137" t="str">
            <v>m</v>
          </cell>
        </row>
        <row r="138">
          <cell r="B138">
            <v>4001019</v>
          </cell>
          <cell r="C138" t="str">
            <v>SUMINISTRO E INSTALACION A TIERRA CON VARILLAS COOPERWELD DE 1,8m</v>
          </cell>
          <cell r="D138" t="str">
            <v>u</v>
          </cell>
        </row>
        <row r="139">
          <cell r="B139">
            <v>4001020</v>
          </cell>
          <cell r="C139" t="str">
            <v>SUMINISTRO E INSTALACIÓN DE APLIQUE DE PARED PARA GRADAS (ESCALERAS):</v>
          </cell>
          <cell r="D139" t="str">
            <v>u</v>
          </cell>
        </row>
        <row r="140">
          <cell r="B140">
            <v>4001021</v>
          </cell>
          <cell r="C140" t="str">
            <v>SUMINISTRO E INSTALACIÓN DE APLIQUE DE PARED PARA SEÑALIZACION DE VIA DEL PARQUEADERO SUBTERRANEO</v>
          </cell>
          <cell r="D140" t="str">
            <v>u</v>
          </cell>
        </row>
        <row r="141">
          <cell r="B141">
            <v>4001022</v>
          </cell>
          <cell r="C141" t="str">
            <v>SUMINISTRO E INSTALACION DE TUBERIA EMT 1/2" (3m)</v>
          </cell>
          <cell r="D141" t="str">
            <v>u</v>
          </cell>
        </row>
        <row r="142">
          <cell r="B142">
            <v>4001023</v>
          </cell>
          <cell r="C142" t="str">
            <v>SUMINISTRO E INSTALACIÓN DE TUBERIA EMT 3/4´</v>
          </cell>
          <cell r="D142" t="str">
            <v>u</v>
          </cell>
        </row>
        <row r="143">
          <cell r="B143">
            <v>4001024</v>
          </cell>
          <cell r="C143" t="str">
            <v>SUMINISTRO E INSTALACION DE TUBERIA EMT 1" (3m)</v>
          </cell>
          <cell r="D143" t="str">
            <v>u</v>
          </cell>
        </row>
        <row r="144">
          <cell r="B144">
            <v>4001025</v>
          </cell>
          <cell r="C144" t="str">
            <v>SUMINISTRO E INSTALACION DE TUBERIA EMT 3" (3m)</v>
          </cell>
          <cell r="D144" t="str">
            <v>u</v>
          </cell>
        </row>
        <row r="145">
          <cell r="B145">
            <v>4001026</v>
          </cell>
          <cell r="C145" t="str">
            <v>SUMINISTRO E INSTALACION DE TOMA TV HD</v>
          </cell>
          <cell r="D145" t="str">
            <v>u</v>
          </cell>
        </row>
        <row r="146">
          <cell r="B146">
            <v>4001027</v>
          </cell>
          <cell r="C146" t="str">
            <v>SUMINISTRO E INSTALACION SENSOR DE MOVIMIENTO 360°</v>
          </cell>
          <cell r="D146" t="str">
            <v>u</v>
          </cell>
        </row>
        <row r="147">
          <cell r="B147">
            <v>4001028</v>
          </cell>
          <cell r="C147" t="str">
            <v>SUMINISTRO E INSTALACION DE CERRADURA ELECTRICA</v>
          </cell>
          <cell r="D147" t="str">
            <v>u</v>
          </cell>
        </row>
        <row r="148">
          <cell r="B148">
            <v>4001029</v>
          </cell>
          <cell r="C148" t="str">
            <v>SUMINISTRO E INSTALACIÓN DE PUNTO DE LUZ EN OJO DE BUEY DIRIGIBLE TIPO DICROICO</v>
          </cell>
          <cell r="D148" t="str">
            <v>u</v>
          </cell>
        </row>
        <row r="149">
          <cell r="B149">
            <v>4001030</v>
          </cell>
          <cell r="C149" t="str">
            <v>SUMINISTRO E INSTALACIÓN DE LUCES DE EMERGENCIA</v>
          </cell>
          <cell r="D149" t="str">
            <v>u</v>
          </cell>
        </row>
        <row r="150">
          <cell r="B150">
            <v>4001031</v>
          </cell>
          <cell r="C150" t="str">
            <v>SUMINISTRO E INSTALACIÓN DE TOMACORRIENTE DE CARGA ESPECIAL</v>
          </cell>
          <cell r="D150" t="str">
            <v>u</v>
          </cell>
        </row>
        <row r="151">
          <cell r="B151">
            <v>4001032</v>
          </cell>
          <cell r="C151" t="str">
            <v>SUMINISTRO E INSTALACIÓN DE TRANSFORMADOR 100 kVA</v>
          </cell>
          <cell r="D151" t="str">
            <v>u</v>
          </cell>
        </row>
        <row r="152">
          <cell r="B152">
            <v>4001033</v>
          </cell>
          <cell r="C152" t="str">
            <v>SUMINISTRO E INSTALACIÓN DE GRUPO ELECTROGENO DIESEL 60 KVA INSONORO, AUTOMATICO</v>
          </cell>
          <cell r="D152" t="str">
            <v>u</v>
          </cell>
        </row>
        <row r="153">
          <cell r="B153">
            <v>4001034</v>
          </cell>
          <cell r="C153" t="str">
            <v>SUMINISTRO E INSTALACIÓN DE TABLERO DE TRANSFERENCIA</v>
          </cell>
          <cell r="D153" t="str">
            <v>u</v>
          </cell>
        </row>
        <row r="154">
          <cell r="B154">
            <v>4001035</v>
          </cell>
          <cell r="C154" t="str">
            <v>SUMINISTRO Y TENDIDO DE CONDUCTOR AISLADO DE POT 2000 V TTU CU, 2 AWG (ACOMETIDA SUBTERRANEA):</v>
          </cell>
          <cell r="D154" t="str">
            <v>m</v>
          </cell>
        </row>
        <row r="155">
          <cell r="B155">
            <v>4001036</v>
          </cell>
          <cell r="C155" t="str">
            <v>SUMINISTRO E INSTALACION DE CENTRO DE CONTROL ON/OFF LUMINARIAS</v>
          </cell>
          <cell r="D155" t="str">
            <v>u</v>
          </cell>
        </row>
        <row r="156">
          <cell r="B156">
            <v>4001037</v>
          </cell>
          <cell r="C156" t="str">
            <v>SUMINISTRO E INSTALACIÓN DE LUMINARIA EMPOTRABLE DE PISO DE ACERO INOXIDABLE CON FOCO 150 W</v>
          </cell>
          <cell r="D156" t="str">
            <v>u</v>
          </cell>
        </row>
        <row r="157">
          <cell r="B157">
            <v>4001038</v>
          </cell>
          <cell r="C157" t="str">
            <v>SUMINISTRO E INSTALACIÓN DE LUMINARIA ORNAMENTAL DE JARDIN TIPO MINIPOSTE LAMP. 150 W/110 V:</v>
          </cell>
          <cell r="D157" t="str">
            <v>u</v>
          </cell>
        </row>
        <row r="158">
          <cell r="B158">
            <v>4001039</v>
          </cell>
          <cell r="C158" t="str">
            <v>SUMINISTRO E INSTALACIÓN DE LUMINARIA, 150 W BRAZO DE 1,5m, CON FOCO METAL HALIDE Y POSTE METALICO CONICO h=8M</v>
          </cell>
          <cell r="D158" t="str">
            <v>u</v>
          </cell>
        </row>
        <row r="159">
          <cell r="B159">
            <v>4001040</v>
          </cell>
          <cell r="C159" t="str">
            <v>SUMINISTRO E INSTALACION DE  KIT PARA PUERTA ELECTRICA CORREDIZA, 600KG</v>
          </cell>
          <cell r="D159" t="str">
            <v>u</v>
          </cell>
        </row>
        <row r="160">
          <cell r="B160">
            <v>4001041</v>
          </cell>
          <cell r="C160" t="str">
            <v>SUMINISTRO E INSTALACION DE VENTILADORES</v>
          </cell>
          <cell r="D160" t="str">
            <v>u</v>
          </cell>
        </row>
        <row r="161">
          <cell r="B161">
            <v>4002</v>
          </cell>
          <cell r="C161" t="str">
            <v>INSTALACIONES HIDROSANITARIAS</v>
          </cell>
          <cell r="D161"/>
        </row>
        <row r="162">
          <cell r="B162">
            <v>4002001</v>
          </cell>
          <cell r="C162" t="str">
            <v>SISTEMA DE AGUA POTABLE</v>
          </cell>
          <cell r="D162"/>
        </row>
        <row r="163">
          <cell r="B163">
            <v>4002001001</v>
          </cell>
          <cell r="C163" t="str">
            <v>RED DE AGUA POTABLE FRIA</v>
          </cell>
          <cell r="D163"/>
        </row>
        <row r="164">
          <cell r="B164">
            <v>4002001001001</v>
          </cell>
          <cell r="C164" t="str">
            <v>SUMINISTRO DE TUBERIA DE FUSION 1/2" (20mm)</v>
          </cell>
          <cell r="D164" t="str">
            <v>m</v>
          </cell>
        </row>
        <row r="165">
          <cell r="B165">
            <v>4002001001002</v>
          </cell>
          <cell r="C165" t="str">
            <v>SUMINISTRO DE TUBERIA DE FUSION 3/4" (25 mm)</v>
          </cell>
          <cell r="D165" t="str">
            <v>m</v>
          </cell>
        </row>
        <row r="166">
          <cell r="B166">
            <v>4002001001003</v>
          </cell>
          <cell r="C166" t="str">
            <v>SUMINISTRO DE TUBERIA DE FUSION 1" (32 mm)</v>
          </cell>
          <cell r="D166" t="str">
            <v>m</v>
          </cell>
        </row>
        <row r="167">
          <cell r="B167">
            <v>4002001001004</v>
          </cell>
          <cell r="C167" t="str">
            <v>SUMINSTRO DE TUBERIA DE FUSION 1 1/2 " (50mm)</v>
          </cell>
          <cell r="D167" t="str">
            <v>m</v>
          </cell>
        </row>
        <row r="168">
          <cell r="B168">
            <v>4002001001005</v>
          </cell>
          <cell r="C168" t="str">
            <v>SUMINISTRO DE TUBERIA DE FUSION 2" (63 mm)</v>
          </cell>
          <cell r="D168" t="str">
            <v>m</v>
          </cell>
        </row>
        <row r="169">
          <cell r="B169">
            <v>4002001001006</v>
          </cell>
          <cell r="C169" t="str">
            <v>SUMINISTRO DE Codo 90º hembra - hembra DE FUSION 1/2 " (20mm)</v>
          </cell>
          <cell r="D169" t="str">
            <v>u</v>
          </cell>
        </row>
        <row r="170">
          <cell r="B170">
            <v>4002001001007</v>
          </cell>
          <cell r="C170" t="str">
            <v>SUMINISTRO DE Codo 90º hembra - hembra DE FUSION 3/4 " (25mm)</v>
          </cell>
          <cell r="D170" t="str">
            <v>u</v>
          </cell>
        </row>
        <row r="171">
          <cell r="B171">
            <v>4002001001008</v>
          </cell>
          <cell r="C171" t="str">
            <v>SUMINISTRO DE Codo 90º hembra - hembra DE FUSION 1" (32mm)</v>
          </cell>
          <cell r="D171" t="str">
            <v>u</v>
          </cell>
        </row>
        <row r="172">
          <cell r="B172">
            <v>4002001001009</v>
          </cell>
          <cell r="C172" t="str">
            <v>SUMINISTRO DE Codo 90º Hembra  - hembra DE FUSION 1 1/2" (50 mm)</v>
          </cell>
          <cell r="D172" t="str">
            <v>u</v>
          </cell>
        </row>
        <row r="173">
          <cell r="B173">
            <v>4002001001010</v>
          </cell>
          <cell r="C173" t="str">
            <v>Suministro de Codo 90º hembra - hembra de Fusión 2" (63mm)</v>
          </cell>
          <cell r="D173" t="str">
            <v>u</v>
          </cell>
        </row>
        <row r="174">
          <cell r="B174">
            <v>4002001001011</v>
          </cell>
          <cell r="C174" t="str">
            <v>SUMINISTRO DE Codo 45º Hembra - hembra DE FUSION 3/4" (25 mm)</v>
          </cell>
          <cell r="D174" t="str">
            <v>u</v>
          </cell>
        </row>
        <row r="175">
          <cell r="B175">
            <v>4002001001012</v>
          </cell>
          <cell r="C175" t="str">
            <v>SUMINISTRO DE Tee lisa hembra DE FUSION 1/2" (20mm)</v>
          </cell>
          <cell r="D175" t="str">
            <v>u</v>
          </cell>
        </row>
        <row r="176">
          <cell r="B176">
            <v>4002001001013</v>
          </cell>
          <cell r="C176" t="str">
            <v>SUMINISTRO DE Tee lisa hembra DE FUSION 3/4" (25mm)</v>
          </cell>
          <cell r="D176" t="str">
            <v>u</v>
          </cell>
        </row>
        <row r="177">
          <cell r="B177">
            <v>4002001001014</v>
          </cell>
          <cell r="C177" t="str">
            <v>SUMINISTRO DE Tee lisa hembra DE FUSION 1" (32mm)</v>
          </cell>
          <cell r="D177" t="str">
            <v>u</v>
          </cell>
        </row>
        <row r="178">
          <cell r="B178">
            <v>4002001001015</v>
          </cell>
          <cell r="C178" t="str">
            <v>SUMINISTRO DE Tee lisa hembra DE FUSION 1 1/2" (50mm)</v>
          </cell>
          <cell r="D178" t="str">
            <v>u</v>
          </cell>
        </row>
        <row r="179">
          <cell r="B179">
            <v>4002001001016</v>
          </cell>
          <cell r="C179" t="str">
            <v>SUMINISTRO DE TEE LISA HEMBRA DE FUSIÓN 2" (63 mm).</v>
          </cell>
          <cell r="D179" t="str">
            <v>u</v>
          </cell>
        </row>
        <row r="180">
          <cell r="B180">
            <v>4002001001017</v>
          </cell>
          <cell r="C180" t="str">
            <v>SUMINISTRO DE Manguito DE FUSION 1/2" (20mm)</v>
          </cell>
          <cell r="D180" t="str">
            <v>u</v>
          </cell>
        </row>
        <row r="181">
          <cell r="B181">
            <v>4002001001018</v>
          </cell>
          <cell r="C181" t="str">
            <v>SUMINISTRO DE Manguito DE FUSION 3/4" (25mm)</v>
          </cell>
          <cell r="D181" t="str">
            <v>u</v>
          </cell>
        </row>
        <row r="182">
          <cell r="B182">
            <v>4002001001019</v>
          </cell>
          <cell r="C182" t="str">
            <v>SUMINISTRO DE Manguito DE FUSION 1" (32mm)</v>
          </cell>
          <cell r="D182" t="str">
            <v>u</v>
          </cell>
        </row>
        <row r="183">
          <cell r="B183">
            <v>4002001001020</v>
          </cell>
          <cell r="C183" t="str">
            <v>SUMINISTRO DE Manguito DE FUSION 1 1/2" (50mm)</v>
          </cell>
          <cell r="D183" t="str">
            <v>u</v>
          </cell>
        </row>
        <row r="184">
          <cell r="B184">
            <v>4002001001021</v>
          </cell>
          <cell r="C184" t="str">
            <v>SUMINISTRO DE Reduccion macho- hembra DE FUSION 25x20mm</v>
          </cell>
          <cell r="D184" t="str">
            <v>u</v>
          </cell>
        </row>
        <row r="185">
          <cell r="B185">
            <v>4002001001022</v>
          </cell>
          <cell r="C185" t="str">
            <v>SUMINISTRO DE Reduccion macho- hembra DE FUSION 32x25mm</v>
          </cell>
          <cell r="D185" t="str">
            <v>u</v>
          </cell>
        </row>
        <row r="186">
          <cell r="B186">
            <v>4002001001023</v>
          </cell>
          <cell r="C186" t="str">
            <v>SUMINISTRO DE Reduccion macho- hembra DE FUSION 50x32mm</v>
          </cell>
          <cell r="D186" t="str">
            <v>u</v>
          </cell>
        </row>
        <row r="187">
          <cell r="B187">
            <v>4002001001024</v>
          </cell>
          <cell r="C187" t="str">
            <v>SUMINISTRO DE Reduccion macho - hembra DE FUSION 63x50mm</v>
          </cell>
          <cell r="D187" t="str">
            <v>u</v>
          </cell>
        </row>
        <row r="188">
          <cell r="B188">
            <v>4002001001025</v>
          </cell>
          <cell r="C188" t="str">
            <v>Suministro de adaptador roscado macho de fusión 63mm (2")</v>
          </cell>
          <cell r="D188" t="str">
            <v>u</v>
          </cell>
        </row>
        <row r="189">
          <cell r="B189">
            <v>4002001001026</v>
          </cell>
          <cell r="C189" t="str">
            <v>SUMINISTRO DE VÁLVULA DE COMPUERTA DE FUSIÓN 1/2" (20mm).</v>
          </cell>
          <cell r="D189" t="str">
            <v>u</v>
          </cell>
        </row>
        <row r="190">
          <cell r="B190">
            <v>4002001001027</v>
          </cell>
          <cell r="C190" t="str">
            <v>SUMINISTRO DE VALVULA DE COMPUERTA DE FUSION 3/4" (25mm)</v>
          </cell>
          <cell r="D190" t="str">
            <v>u</v>
          </cell>
        </row>
        <row r="191">
          <cell r="B191">
            <v>4002001001028</v>
          </cell>
          <cell r="C191" t="str">
            <v>SUMINISTRO DE VALVULA DE COMPUERTA DE FUSION 1" (32mm)</v>
          </cell>
          <cell r="D191" t="str">
            <v>u</v>
          </cell>
        </row>
        <row r="192">
          <cell r="B192">
            <v>4002001001029</v>
          </cell>
          <cell r="C192" t="str">
            <v>Suministro de válvula check de 2"</v>
          </cell>
          <cell r="D192" t="str">
            <v>u</v>
          </cell>
        </row>
        <row r="193">
          <cell r="B193">
            <v>4002001002</v>
          </cell>
          <cell r="C193" t="str">
            <v>RED DE AGUA POTABLE CALIENTE</v>
          </cell>
          <cell r="D193"/>
        </row>
        <row r="194">
          <cell r="B194">
            <v>4002001002001</v>
          </cell>
          <cell r="C194" t="str">
            <v>SUMINISTRO DE TUBERIA DE FUSION 1/2" (20 mm) A.C.</v>
          </cell>
          <cell r="D194" t="str">
            <v>m</v>
          </cell>
        </row>
        <row r="195">
          <cell r="B195">
            <v>4002001002002</v>
          </cell>
          <cell r="C195" t="str">
            <v>SUMINISTRO DE TUBERIA DE FUSION 3/4" (25 mm) A.C.</v>
          </cell>
          <cell r="D195" t="str">
            <v>m</v>
          </cell>
        </row>
        <row r="196">
          <cell r="B196">
            <v>4002001002003</v>
          </cell>
          <cell r="C196" t="str">
            <v>SUMINISTRO DE TUBERIA DE FUSION 1" (32mm) A.C.</v>
          </cell>
          <cell r="D196" t="str">
            <v>m</v>
          </cell>
        </row>
        <row r="197">
          <cell r="B197">
            <v>4002001002004</v>
          </cell>
          <cell r="C197" t="str">
            <v>SUMINISTRO DE TUBERIA DE FUSION 1 1/2" (50 mm) A.C.</v>
          </cell>
          <cell r="D197" t="str">
            <v>m</v>
          </cell>
        </row>
        <row r="198">
          <cell r="B198">
            <v>4002001002005</v>
          </cell>
          <cell r="C198" t="str">
            <v>SUMINISTRO DE TUBERIA DE FUSION 2" (63 mm) A.C.</v>
          </cell>
          <cell r="D198" t="str">
            <v>m</v>
          </cell>
        </row>
        <row r="199">
          <cell r="B199">
            <v>4002001002006</v>
          </cell>
          <cell r="C199" t="str">
            <v>SUMINISTRO DE Codo 90º hembra - hembra DE FUSION 1/2 " (20mm)</v>
          </cell>
          <cell r="D199" t="str">
            <v>u</v>
          </cell>
        </row>
        <row r="200">
          <cell r="B200">
            <v>4002001002007</v>
          </cell>
          <cell r="C200" t="str">
            <v>SUMINISTRO DE Codo 90º hembra - hembra DE FUSION 3/4 " (25mm)</v>
          </cell>
          <cell r="D200" t="str">
            <v>u</v>
          </cell>
        </row>
        <row r="201">
          <cell r="B201">
            <v>4002001002008</v>
          </cell>
          <cell r="C201" t="str">
            <v>SUMINISTRO DE Codo 90º hembra - hembra DE FUSION 1" (32mm)</v>
          </cell>
          <cell r="D201" t="str">
            <v>u</v>
          </cell>
        </row>
        <row r="202">
          <cell r="B202">
            <v>4002001002009</v>
          </cell>
          <cell r="C202" t="str">
            <v>SUMINISTRO DE Codo 90º Hembra  - hembra DE FUSION 1 1/2" (50 mm)</v>
          </cell>
          <cell r="D202" t="str">
            <v>u</v>
          </cell>
        </row>
        <row r="203">
          <cell r="B203">
            <v>4002001002010</v>
          </cell>
          <cell r="C203" t="str">
            <v>Suministro de Codo 90º hembra - hembra de Fusión 2" (63mm)</v>
          </cell>
          <cell r="D203" t="str">
            <v>u</v>
          </cell>
        </row>
        <row r="204">
          <cell r="B204">
            <v>4002001002011</v>
          </cell>
          <cell r="C204" t="str">
            <v>SUMINISTRO DE Codo 45º Hembra - hembra DE FUSION 3/4" (25 mm)</v>
          </cell>
          <cell r="D204" t="str">
            <v>u</v>
          </cell>
        </row>
        <row r="205">
          <cell r="B205">
            <v>4002001002012</v>
          </cell>
          <cell r="C205" t="str">
            <v>SUMINISTRO DE Tee lisa hembra DE FUSION 1/2" (20mm)</v>
          </cell>
          <cell r="D205" t="str">
            <v>u</v>
          </cell>
        </row>
        <row r="206">
          <cell r="B206">
            <v>4002001002013</v>
          </cell>
          <cell r="C206" t="str">
            <v>SUMINISTRO DE Tee lisa hembra DE FUSION 3/4" (25mm)</v>
          </cell>
          <cell r="D206" t="str">
            <v>u</v>
          </cell>
        </row>
        <row r="207">
          <cell r="B207">
            <v>4002001002014</v>
          </cell>
          <cell r="C207" t="str">
            <v>SUMINISTRO DE Tee lisa hembra DE FUSION 1" (32mm)</v>
          </cell>
          <cell r="D207" t="str">
            <v>u</v>
          </cell>
        </row>
        <row r="208">
          <cell r="B208">
            <v>4002001002015</v>
          </cell>
          <cell r="C208" t="str">
            <v>SUMINISTRO DE Tee lisa hembra DE FUSION 1 1/2" (50mm)</v>
          </cell>
          <cell r="D208" t="str">
            <v>u</v>
          </cell>
        </row>
        <row r="209">
          <cell r="B209">
            <v>4002001002016</v>
          </cell>
          <cell r="C209" t="str">
            <v>SUMINISTRO DE TEE LISA HEMBRA DE FUSIÓN 2" (63 mm).</v>
          </cell>
          <cell r="D209" t="str">
            <v>u</v>
          </cell>
        </row>
        <row r="210">
          <cell r="B210">
            <v>4002001002017</v>
          </cell>
          <cell r="C210" t="str">
            <v>SUMINISTRO DE Manguito DE FUSION 1/2" (20mm)</v>
          </cell>
          <cell r="D210" t="str">
            <v>u</v>
          </cell>
        </row>
        <row r="211">
          <cell r="B211">
            <v>4002001002018</v>
          </cell>
          <cell r="C211" t="str">
            <v>SUMINISTRO DE Manguito DE FUSION 3/4" (25mm)</v>
          </cell>
          <cell r="D211" t="str">
            <v>u</v>
          </cell>
        </row>
        <row r="212">
          <cell r="B212">
            <v>4002001002019</v>
          </cell>
          <cell r="C212" t="str">
            <v>SUMINISTRO DE Manguito DE FUSION 1" (32mm)</v>
          </cell>
          <cell r="D212" t="str">
            <v>u</v>
          </cell>
        </row>
        <row r="213">
          <cell r="B213">
            <v>4002001002020</v>
          </cell>
          <cell r="C213" t="str">
            <v>SUMINISTRO DE Manguito DE FUSION 1 1/2" (50mm)</v>
          </cell>
          <cell r="D213" t="str">
            <v>u</v>
          </cell>
        </row>
        <row r="214">
          <cell r="B214">
            <v>4002001002021</v>
          </cell>
          <cell r="C214" t="str">
            <v>SUMINISTRO DE Reduccion macho - hembra DE FUSION 63x50mm</v>
          </cell>
          <cell r="D214" t="str">
            <v>u</v>
          </cell>
        </row>
        <row r="215">
          <cell r="B215">
            <v>4002001002022</v>
          </cell>
          <cell r="C215" t="str">
            <v>SUMINISTRO DE Reduccion macho- hembra DE FUSION 50x32mm</v>
          </cell>
          <cell r="D215" t="str">
            <v>u</v>
          </cell>
        </row>
        <row r="216">
          <cell r="B216">
            <v>4002001002023</v>
          </cell>
          <cell r="C216" t="str">
            <v>SUMINISTRO DE Reduccion macho- hembra DE FUSION 32x25mm</v>
          </cell>
          <cell r="D216" t="str">
            <v>u</v>
          </cell>
        </row>
        <row r="217">
          <cell r="B217">
            <v>4002001002024</v>
          </cell>
          <cell r="C217" t="str">
            <v>SUMINISTRO DE Reduccion macho- hembra DE FUSION 25x20mm</v>
          </cell>
          <cell r="D217" t="str">
            <v>u</v>
          </cell>
        </row>
        <row r="218">
          <cell r="B218">
            <v>4002001002025</v>
          </cell>
          <cell r="C218" t="str">
            <v>SUMINISTRO DE VALVULA DE COMPUERTA DE FUSION 3/4" (25mm)</v>
          </cell>
          <cell r="D218" t="str">
            <v>u</v>
          </cell>
        </row>
        <row r="219">
          <cell r="B219">
            <v>4002001002026</v>
          </cell>
          <cell r="C219" t="str">
            <v>SUMINISTRO DE VÁLVULA DE COMPUERTA DE FUSIÓN 1/2" (20mm).</v>
          </cell>
          <cell r="D219" t="str">
            <v>u</v>
          </cell>
        </row>
        <row r="220">
          <cell r="B220">
            <v>4002001002027</v>
          </cell>
          <cell r="C220" t="str">
            <v>SUMINISTRO E INSTALACIÓN DE MEDIDOR DE AGUA POTABLE D= 1/2" PARA AGUA CALIENTE (INCLUYE ACCESORIOS)</v>
          </cell>
          <cell r="D220" t="str">
            <v>u</v>
          </cell>
        </row>
        <row r="221">
          <cell r="B221">
            <v>4002001002028</v>
          </cell>
          <cell r="C221" t="str">
            <v>Suministro de válvula check de 2"</v>
          </cell>
          <cell r="D221" t="str">
            <v>u</v>
          </cell>
        </row>
        <row r="222">
          <cell r="B222">
            <v>4002001002029</v>
          </cell>
          <cell r="C222" t="str">
            <v>Suministro de adaptador roscado macho de fusión 63mm (2")</v>
          </cell>
          <cell r="D222" t="str">
            <v>u</v>
          </cell>
        </row>
        <row r="223">
          <cell r="B223">
            <v>4002001003</v>
          </cell>
          <cell r="C223" t="str">
            <v>VARIOS</v>
          </cell>
          <cell r="D223"/>
        </row>
        <row r="224">
          <cell r="B224">
            <v>4002001003001</v>
          </cell>
          <cell r="C224" t="str">
            <v>Colocacion de Tuberia DE FUSION PARA AGUA FRIA Y CALIENTE D= 20 a 63 mm</v>
          </cell>
          <cell r="D224" t="str">
            <v>m</v>
          </cell>
        </row>
        <row r="225">
          <cell r="B225">
            <v>4002001003002</v>
          </cell>
          <cell r="C225" t="str">
            <v>COLOCACION ACCESORIOS DE TUBERÍA DE FUSIÓN. D=20 A 63 mm</v>
          </cell>
          <cell r="D225" t="str">
            <v>u</v>
          </cell>
        </row>
        <row r="226">
          <cell r="B226">
            <v>4002001003003</v>
          </cell>
          <cell r="C226" t="str">
            <v>COLOCACION VALVULAS  D=20 A 63 mm</v>
          </cell>
          <cell r="D226" t="str">
            <v>u</v>
          </cell>
        </row>
        <row r="227">
          <cell r="B227">
            <v>4002001003004</v>
          </cell>
          <cell r="C227" t="str">
            <v>SUMINISTRO DE Sistema de Bombeo en cascada con Bomba Centrífuga 5Hp y 3HP ( incluye accesorios para bomba y cisterna)</v>
          </cell>
          <cell r="D227" t="str">
            <v>u</v>
          </cell>
        </row>
        <row r="228">
          <cell r="B228">
            <v>4002001003005</v>
          </cell>
          <cell r="C228" t="str">
            <v>SUMINISTRO DE Tablero de control para sistema de bombeo con variador de velocidad (INCLUYE ACCESORIOS)</v>
          </cell>
          <cell r="D228" t="str">
            <v>u</v>
          </cell>
        </row>
        <row r="229">
          <cell r="B229">
            <v>4002001003006</v>
          </cell>
          <cell r="C229" t="str">
            <v>SUMINISTRO DE Termotanque de 300 lt, termostato con conexion capilar a la linea y bomba de recirculacion de agua caliente (INCLUYE ACCESORIOS)</v>
          </cell>
          <cell r="D229" t="str">
            <v>u</v>
          </cell>
        </row>
        <row r="230">
          <cell r="B230">
            <v>4002001003007</v>
          </cell>
          <cell r="C230" t="str">
            <v>SUMINISTRO DE Tanque de presion 114 gl (INCLUYE ACCESORIOS)</v>
          </cell>
          <cell r="D230" t="str">
            <v>u</v>
          </cell>
        </row>
        <row r="231">
          <cell r="B231">
            <v>4002001003008</v>
          </cell>
          <cell r="C231" t="str">
            <v>INSTALACION E INTERCONEXION DE EQUIPOS (BOMBAS, TANQUES DE PRESIÓN, TERMOTANQUES, TABLEROS, BOMBAS DE RECIRCULACION DE AGUA CALIENTE INCLUYE MATERIALES, ETC.</v>
          </cell>
          <cell r="D231" t="str">
            <v>u</v>
          </cell>
        </row>
        <row r="232">
          <cell r="B232">
            <v>4002002</v>
          </cell>
          <cell r="C232" t="str">
            <v>SISTEMA DE EVACUACIÓN DE AGUAS SERVIDAS, AGUAS LLUVIAS Y DRENAJE.</v>
          </cell>
          <cell r="D232"/>
        </row>
        <row r="233">
          <cell r="B233">
            <v>4002002001</v>
          </cell>
          <cell r="C233" t="str">
            <v>Suministro de Tuberia PVC Desague D= 50 mm</v>
          </cell>
          <cell r="D233" t="str">
            <v>m</v>
          </cell>
        </row>
        <row r="234">
          <cell r="B234">
            <v>4002002002</v>
          </cell>
          <cell r="C234" t="str">
            <v>Suministro de Tuberia PVC Desague D=75 mm</v>
          </cell>
          <cell r="D234" t="str">
            <v>m</v>
          </cell>
        </row>
        <row r="235">
          <cell r="B235">
            <v>4002002003</v>
          </cell>
          <cell r="C235" t="str">
            <v>Suministro de Tuberia PVC Desague D=110 mm</v>
          </cell>
          <cell r="D235" t="str">
            <v>m</v>
          </cell>
        </row>
        <row r="236">
          <cell r="B236">
            <v>4002002004</v>
          </cell>
          <cell r="C236" t="str">
            <v>Suministro de Tuberia PVC Desague D=160 mm</v>
          </cell>
          <cell r="D236" t="str">
            <v>m</v>
          </cell>
        </row>
        <row r="237">
          <cell r="B237">
            <v>4002002005</v>
          </cell>
          <cell r="C237" t="str">
            <v>Suministro de Tuberia PVC Desague D=200 mm</v>
          </cell>
          <cell r="D237" t="str">
            <v>m</v>
          </cell>
        </row>
        <row r="238">
          <cell r="B238">
            <v>4002002006</v>
          </cell>
          <cell r="C238" t="str">
            <v>COLOCACION TUBERIA PVC DESAGUE (D=50-200 mm)</v>
          </cell>
          <cell r="D238" t="str">
            <v>m</v>
          </cell>
        </row>
        <row r="239">
          <cell r="B239">
            <v>4002002007</v>
          </cell>
          <cell r="C239" t="str">
            <v>Suministro de Codo PVC Desague D=50 mm 45 grad,</v>
          </cell>
          <cell r="D239" t="str">
            <v>u</v>
          </cell>
        </row>
        <row r="240">
          <cell r="B240">
            <v>4002002008</v>
          </cell>
          <cell r="C240" t="str">
            <v>Suministro de Codo PVC Desague D=75 mm 45 grad,</v>
          </cell>
          <cell r="D240" t="str">
            <v>u</v>
          </cell>
        </row>
        <row r="241">
          <cell r="B241">
            <v>4002002009</v>
          </cell>
          <cell r="C241" t="str">
            <v>Suministro de Codo PVC Desague D=110 mm 45 grad,</v>
          </cell>
          <cell r="D241" t="str">
            <v>u</v>
          </cell>
        </row>
        <row r="242">
          <cell r="B242">
            <v>4002002010</v>
          </cell>
          <cell r="C242" t="str">
            <v>Suministro de Yee PVC Desague D=50 mm</v>
          </cell>
          <cell r="D242" t="str">
            <v>u</v>
          </cell>
        </row>
        <row r="243">
          <cell r="B243">
            <v>4002002011</v>
          </cell>
          <cell r="C243" t="str">
            <v>Suministro de Yee PVC Desague D=75 mm</v>
          </cell>
          <cell r="D243" t="str">
            <v>u</v>
          </cell>
        </row>
        <row r="244">
          <cell r="B244">
            <v>4002002012</v>
          </cell>
          <cell r="C244" t="str">
            <v>Suministro de Yee PVC Desague D=110 mm</v>
          </cell>
          <cell r="D244" t="str">
            <v>u</v>
          </cell>
        </row>
        <row r="245">
          <cell r="B245">
            <v>4002002013</v>
          </cell>
          <cell r="C245" t="str">
            <v>Suministro de Yee PVC Desague D=160 mm</v>
          </cell>
          <cell r="D245" t="str">
            <v>u</v>
          </cell>
        </row>
        <row r="246">
          <cell r="B246">
            <v>4002002014</v>
          </cell>
          <cell r="C246" t="str">
            <v>Suministro de Union PVC Desague D=50 mm</v>
          </cell>
          <cell r="D246" t="str">
            <v>u</v>
          </cell>
        </row>
        <row r="247">
          <cell r="B247">
            <v>4002002015</v>
          </cell>
          <cell r="C247" t="str">
            <v>Suministro de Union PVC Desague D=75 mm</v>
          </cell>
          <cell r="D247" t="str">
            <v>u</v>
          </cell>
        </row>
        <row r="248">
          <cell r="B248">
            <v>4002002016</v>
          </cell>
          <cell r="C248" t="str">
            <v>Suministro de Union PVC Desague D=110 mm</v>
          </cell>
          <cell r="D248" t="str">
            <v>u</v>
          </cell>
        </row>
        <row r="249">
          <cell r="B249">
            <v>4002002017</v>
          </cell>
          <cell r="C249" t="str">
            <v>Suministro de Union PVC Desague D=160 mm</v>
          </cell>
          <cell r="D249" t="str">
            <v>u</v>
          </cell>
        </row>
        <row r="250">
          <cell r="B250">
            <v>4002002018</v>
          </cell>
          <cell r="C250" t="str">
            <v>Suministro de Reductor PVC Desague D=75 x 50 mm</v>
          </cell>
          <cell r="D250" t="str">
            <v>u</v>
          </cell>
        </row>
        <row r="251">
          <cell r="B251">
            <v>4002002019</v>
          </cell>
          <cell r="C251" t="str">
            <v>Suministro de Reductor PVC Desague D=110 x 75 mm</v>
          </cell>
          <cell r="D251" t="str">
            <v>u</v>
          </cell>
        </row>
        <row r="252">
          <cell r="B252">
            <v>4002002020</v>
          </cell>
          <cell r="C252" t="str">
            <v>SUMINISTRO DE REDUCTOR PVC DESAGUE D=160 X 110 mm.</v>
          </cell>
          <cell r="D252" t="str">
            <v>u</v>
          </cell>
        </row>
        <row r="253">
          <cell r="B253">
            <v>4002002021</v>
          </cell>
          <cell r="C253" t="str">
            <v>Suministro de Tapon PVC Desague D=50 mm</v>
          </cell>
          <cell r="D253" t="str">
            <v>u</v>
          </cell>
        </row>
        <row r="254">
          <cell r="B254">
            <v>4002002022</v>
          </cell>
          <cell r="C254" t="str">
            <v>Suministro de Tapon PVC Desague D=75 mm</v>
          </cell>
          <cell r="D254" t="str">
            <v>u</v>
          </cell>
        </row>
        <row r="255">
          <cell r="B255">
            <v>4002002023</v>
          </cell>
          <cell r="C255" t="str">
            <v>Suministro de Tapon PVC Desague D=110 mm</v>
          </cell>
          <cell r="D255" t="str">
            <v>u</v>
          </cell>
        </row>
        <row r="256">
          <cell r="B256">
            <v>4002002024</v>
          </cell>
          <cell r="C256" t="str">
            <v>Suministro de Tee PVC Desague D=50 mm</v>
          </cell>
          <cell r="D256" t="str">
            <v>u</v>
          </cell>
        </row>
        <row r="257">
          <cell r="B257">
            <v>4002002025</v>
          </cell>
          <cell r="C257" t="str">
            <v>Suministro de Tee PVC Desague D=75 mm</v>
          </cell>
          <cell r="D257" t="str">
            <v>u</v>
          </cell>
        </row>
        <row r="258">
          <cell r="B258">
            <v>4002002026</v>
          </cell>
          <cell r="C258" t="str">
            <v>Suministro de Tee PVC Desague D=110 mm</v>
          </cell>
          <cell r="D258" t="str">
            <v>u</v>
          </cell>
        </row>
        <row r="259">
          <cell r="B259">
            <v>4002002027</v>
          </cell>
          <cell r="C259" t="str">
            <v>SUMINISTRO DE TEE PVC DESAGUE D=160 mm</v>
          </cell>
          <cell r="D259" t="str">
            <v>u</v>
          </cell>
        </row>
        <row r="260">
          <cell r="B260">
            <v>4002002028</v>
          </cell>
          <cell r="C260" t="str">
            <v>COLOCACION ACCESORIOS PVC PARA DESAGUE</v>
          </cell>
          <cell r="D260" t="str">
            <v>u</v>
          </cell>
        </row>
        <row r="261">
          <cell r="B261">
            <v>4002002029</v>
          </cell>
          <cell r="C261" t="str">
            <v>CONSTRUCCIÓN DE CAJA DE REVISION 50X50 cm.</v>
          </cell>
          <cell r="D261" t="str">
            <v>u</v>
          </cell>
        </row>
        <row r="262">
          <cell r="B262">
            <v>4002002030</v>
          </cell>
          <cell r="C262" t="str">
            <v>Dren especial con tuber¡a PVC D=160 mm</v>
          </cell>
          <cell r="D262" t="str">
            <v>m</v>
          </cell>
        </row>
        <row r="263">
          <cell r="B263">
            <v>4002002031</v>
          </cell>
          <cell r="C263" t="str">
            <v>TUBERÍA PERFORADA PVC D=110 mm</v>
          </cell>
          <cell r="D263" t="str">
            <v>m</v>
          </cell>
        </row>
        <row r="264">
          <cell r="B264">
            <v>4002002032</v>
          </cell>
          <cell r="C264" t="str">
            <v>SUMINISTRO Y COLOCACION GRAVA (DREN)</v>
          </cell>
          <cell r="D264" t="str">
            <v>m3</v>
          </cell>
        </row>
        <row r="265">
          <cell r="B265">
            <v>4002002033</v>
          </cell>
          <cell r="C265" t="str">
            <v>Suministro e Instalación de Geomembrana para dren</v>
          </cell>
          <cell r="D265" t="str">
            <v>m2</v>
          </cell>
        </row>
        <row r="266">
          <cell r="B266">
            <v>4002002034</v>
          </cell>
          <cell r="C266" t="str">
            <v>SUMINISTRO E INSTALACIÓN DE GEOTEXTIL PARA DREN</v>
          </cell>
          <cell r="D266" t="str">
            <v>m2</v>
          </cell>
        </row>
        <row r="267">
          <cell r="B267">
            <v>4002002035</v>
          </cell>
          <cell r="C267" t="str">
            <v>Suministro e Instalacion de Rejilla Hierro (Sumidero 0,70 x 0,40 m)</v>
          </cell>
          <cell r="D267" t="str">
            <v>u</v>
          </cell>
        </row>
        <row r="268">
          <cell r="B268">
            <v>4002002036</v>
          </cell>
          <cell r="C268" t="str">
            <v>Suministro e Instalacion de  Trampilla de piso 4"</v>
          </cell>
          <cell r="D268" t="str">
            <v>u</v>
          </cell>
        </row>
        <row r="269">
          <cell r="B269">
            <v>4002002037</v>
          </cell>
          <cell r="C269" t="str">
            <v>SUMINISTRO E INSTALACIÓN DE TRAMPILLA DE PISO 2"</v>
          </cell>
          <cell r="D269" t="str">
            <v>u</v>
          </cell>
        </row>
        <row r="270">
          <cell r="B270">
            <v>4002002038</v>
          </cell>
          <cell r="C270" t="str">
            <v>POZO DE REVISIÓN DE SUMIDERO (TUBO 600 mm)</v>
          </cell>
          <cell r="D270" t="str">
            <v>u</v>
          </cell>
        </row>
        <row r="271">
          <cell r="B271">
            <v>4002002039</v>
          </cell>
          <cell r="C271" t="str">
            <v>Suministro Codo PVC Desague D=50 mm 90 grad</v>
          </cell>
          <cell r="D271" t="str">
            <v>u</v>
          </cell>
        </row>
        <row r="272">
          <cell r="B272">
            <v>4002002040</v>
          </cell>
          <cell r="C272" t="str">
            <v>Suministro Codo PVC Desague D=75 mm 90 grad</v>
          </cell>
          <cell r="D272" t="str">
            <v>u</v>
          </cell>
        </row>
        <row r="273">
          <cell r="B273">
            <v>4002002041</v>
          </cell>
          <cell r="C273" t="str">
            <v>SUMINISTRO CODO PVC DESAGUE D=110 mm 90 GRAD.</v>
          </cell>
          <cell r="D273" t="str">
            <v>u</v>
          </cell>
        </row>
        <row r="274">
          <cell r="B274">
            <v>4002002042</v>
          </cell>
          <cell r="C274" t="str">
            <v>Suministro Codo PVC Desague D=160 mm 90 grad</v>
          </cell>
          <cell r="D274" t="str">
            <v>u</v>
          </cell>
        </row>
        <row r="275">
          <cell r="B275">
            <v>4002003</v>
          </cell>
          <cell r="C275" t="str">
            <v>PIEZAS SANITARIAS</v>
          </cell>
          <cell r="D275" t="str">
            <v/>
          </cell>
        </row>
        <row r="276">
          <cell r="B276">
            <v>4002003001</v>
          </cell>
          <cell r="C276" t="str">
            <v>SUMINISTRO E INSTALACIÓN DE INODORO BLANCO TANQUE BAJO (INCLUYE ACCESORIOS)</v>
          </cell>
          <cell r="D276" t="str">
            <v>u</v>
          </cell>
        </row>
        <row r="277">
          <cell r="B277">
            <v>4002003002</v>
          </cell>
          <cell r="C277" t="str">
            <v>SUMINISTRO E INSTALACIÓN DE INODORO BLANCO</v>
          </cell>
          <cell r="D277" t="str">
            <v>u</v>
          </cell>
        </row>
        <row r="278">
          <cell r="B278">
            <v>4002003003</v>
          </cell>
          <cell r="C278" t="str">
            <v>SUMINISTRO E INSTALACIÓN DE LAVAMANOS BLANCO EMPOTRABLE (INCLUYE ACCESORIOS)</v>
          </cell>
          <cell r="D278" t="str">
            <v>u</v>
          </cell>
        </row>
        <row r="279">
          <cell r="B279">
            <v>4002003004</v>
          </cell>
          <cell r="C279" t="str">
            <v>SUMINISTRO E INSTALACIÓN DE LAVAMANOS BLANCO CON PEDESTAL</v>
          </cell>
          <cell r="D279" t="str">
            <v>u</v>
          </cell>
        </row>
        <row r="280">
          <cell r="B280">
            <v>4002003005</v>
          </cell>
          <cell r="C280" t="str">
            <v>SUMINISTRO E INSTALACIÓN DE JUEGO DE ACCESORIOS EN ACERO CROMADO PARA BAÑOS</v>
          </cell>
          <cell r="D280" t="str">
            <v>u</v>
          </cell>
        </row>
        <row r="281">
          <cell r="B281">
            <v>4002003006</v>
          </cell>
          <cell r="C281" t="str">
            <v>SUMINISTRO E INSTALACIÓN DE 1/2 JUEGO DE ACCESORIOS PARA BAÑOS DE SALA COMUNAL</v>
          </cell>
          <cell r="D281" t="str">
            <v>u</v>
          </cell>
        </row>
        <row r="282">
          <cell r="B282">
            <v>4002003007</v>
          </cell>
          <cell r="C282" t="str">
            <v>SUMINISTRO E INSTALACIÓN DE GRIFERIA Y MEZCLADORA DE 8" PARA LAVAMANOS</v>
          </cell>
          <cell r="D282" t="str">
            <v>u</v>
          </cell>
        </row>
        <row r="283">
          <cell r="B283">
            <v>4002003008</v>
          </cell>
          <cell r="C283" t="str">
            <v>SUMINISTRO E INSTALACIÓN DE GRIFERÍA MONOCOMANDO CON MEXCLADORA PARA DUCHA</v>
          </cell>
          <cell r="D283" t="str">
            <v>u</v>
          </cell>
        </row>
        <row r="284">
          <cell r="B284">
            <v>4002003009</v>
          </cell>
          <cell r="C284" t="str">
            <v>SUMINISTRO E INSTALACIÓN DE GRIFERIA Y MEZCLADORA DE 8" PARA FREGADERO DE ACERO INOXIDABLE</v>
          </cell>
          <cell r="D284" t="str">
            <v>u</v>
          </cell>
        </row>
        <row r="285">
          <cell r="B285">
            <v>4002003010</v>
          </cell>
          <cell r="C285" t="str">
            <v>SUMINISTRO E INSTALACIÓN DE FREGADERO DE ACERO INOXIDABLE DOBLE POZO (INCLUYE DESAGüE)</v>
          </cell>
          <cell r="D285" t="str">
            <v>u</v>
          </cell>
        </row>
        <row r="286">
          <cell r="B286">
            <v>4002003011</v>
          </cell>
          <cell r="C286" t="str">
            <v>SUMINISTRO Y COLOCACIÓN DE FREGADERO DE ROPA DE FIBRA DE VIDRIOS DE 51 X 60 CM CON FLAUTA SOBRE ESTRUCTURA DE MAMPOSTERIA Y ENLUCIDO</v>
          </cell>
          <cell r="D286" t="str">
            <v>u</v>
          </cell>
        </row>
        <row r="287">
          <cell r="B287">
            <v>4003</v>
          </cell>
          <cell r="C287" t="str">
            <v>INSTALACIONES TELEFÓNICAS, DE COMUNICACIÓN Y SEGURIDAD</v>
          </cell>
          <cell r="D287" t="str">
            <v/>
          </cell>
        </row>
        <row r="288">
          <cell r="B288">
            <v>4003001</v>
          </cell>
          <cell r="C288" t="str">
            <v>SUMINISTRO Y TENDIDO DE CABLE CONDUCTOR TELEFONICO #22 EKKX</v>
          </cell>
          <cell r="D288" t="str">
            <v>m</v>
          </cell>
        </row>
        <row r="289">
          <cell r="B289">
            <v>4003002</v>
          </cell>
          <cell r="C289" t="str">
            <v>SUMINISTRO E INSTALACION DE TOMA TELEFONICA</v>
          </cell>
          <cell r="D289" t="str">
            <v>u</v>
          </cell>
        </row>
        <row r="290">
          <cell r="B290">
            <v>4003003</v>
          </cell>
          <cell r="C290" t="str">
            <v>SUMINISTRO E INSTALACION DE CAJA DISTRIBUCION TELEFONICA PRINCIPAL</v>
          </cell>
          <cell r="D290" t="str">
            <v>u</v>
          </cell>
        </row>
        <row r="291">
          <cell r="B291">
            <v>4003004</v>
          </cell>
          <cell r="C291" t="str">
            <v>SUMINISTRO E INSTALACION CAJA DE DISTRIBUCION TELEFONICA FINAL 2 PARES</v>
          </cell>
          <cell r="D291" t="str">
            <v>u</v>
          </cell>
        </row>
        <row r="292">
          <cell r="B292">
            <v>4003005</v>
          </cell>
          <cell r="C292" t="str">
            <v>SUMINISTRO E INSTALACION DE INTERCOMUNICADOR SIMPLE</v>
          </cell>
          <cell r="D292" t="str">
            <v>U</v>
          </cell>
        </row>
        <row r="293">
          <cell r="B293">
            <v>4003006</v>
          </cell>
          <cell r="C293" t="str">
            <v>SUMINISTRO E INSTALACION DE INTERCOMUNICADOR CENTRAL 50 USUARIOS</v>
          </cell>
          <cell r="D293" t="str">
            <v>u</v>
          </cell>
        </row>
        <row r="294">
          <cell r="B294">
            <v>4003007</v>
          </cell>
          <cell r="C294" t="str">
            <v>SUMINISTRO E INSTALACIÓN DE CAMARAS DE VIGILANCIA, TIPO DOMO</v>
          </cell>
          <cell r="D294" t="str">
            <v>u</v>
          </cell>
        </row>
        <row r="295">
          <cell r="B295">
            <v>4003008</v>
          </cell>
          <cell r="C295" t="str">
            <v>SUMINISTRO E INSTALACION CABLE MULTIPAR #24,  15 PARES</v>
          </cell>
          <cell r="D295" t="str">
            <v>m</v>
          </cell>
        </row>
        <row r="296">
          <cell r="B296">
            <v>4004</v>
          </cell>
          <cell r="C296" t="str">
            <v>INSTALACIONES CONTRA INCENDIOS</v>
          </cell>
          <cell r="D296" t="str">
            <v/>
          </cell>
        </row>
        <row r="297">
          <cell r="B297">
            <v>4004001</v>
          </cell>
          <cell r="C297" t="str">
            <v>RED CONTRA INCENDIOS</v>
          </cell>
          <cell r="D297" t="str">
            <v/>
          </cell>
        </row>
        <row r="298">
          <cell r="B298">
            <v>4004001001</v>
          </cell>
          <cell r="C298" t="str">
            <v>SUMINISTRO E INSTALACION DE TUBERIA HG d=3"</v>
          </cell>
          <cell r="D298" t="str">
            <v>m</v>
          </cell>
        </row>
        <row r="299">
          <cell r="B299">
            <v>4004001002</v>
          </cell>
          <cell r="C299" t="str">
            <v>SUMINISTRO E INSTALACION DE TUBERIA HG d=2 1/2"</v>
          </cell>
          <cell r="D299" t="str">
            <v>m</v>
          </cell>
        </row>
        <row r="300">
          <cell r="B300">
            <v>4004001003</v>
          </cell>
          <cell r="C300" t="str">
            <v>SUMINISTRO E INSTALACION DE TUBERIA HG d=2"</v>
          </cell>
          <cell r="D300" t="str">
            <v>m</v>
          </cell>
        </row>
        <row r="301">
          <cell r="B301">
            <v>4004001004</v>
          </cell>
          <cell r="C301" t="str">
            <v>SUMINISTRO E INSTALACION DE TUBERIA HG d=1 1/2"</v>
          </cell>
          <cell r="D301" t="str">
            <v>m</v>
          </cell>
        </row>
        <row r="302">
          <cell r="B302">
            <v>4004001005</v>
          </cell>
          <cell r="C302" t="str">
            <v>SUMINISTRO E INSTALACION DE TUBERIA HG d=1"</v>
          </cell>
          <cell r="D302" t="str">
            <v>m</v>
          </cell>
        </row>
        <row r="303">
          <cell r="B303">
            <v>4004001006</v>
          </cell>
          <cell r="C303" t="str">
            <v>SUMINISTRO E INSTALACION DE CODO HG 90° d=3"</v>
          </cell>
          <cell r="D303" t="str">
            <v>u</v>
          </cell>
        </row>
        <row r="304">
          <cell r="B304">
            <v>4004001007</v>
          </cell>
          <cell r="C304" t="str">
            <v>SUMINISTRO E INSTALACION DE CODO HG 90° d=2 1/2"</v>
          </cell>
          <cell r="D304" t="str">
            <v>u</v>
          </cell>
        </row>
        <row r="305">
          <cell r="B305">
            <v>4004001008</v>
          </cell>
          <cell r="C305" t="str">
            <v>SUMINISTRO E INSTALACION DE CODO HG 90° d=1 1/2"</v>
          </cell>
          <cell r="D305" t="str">
            <v>u</v>
          </cell>
        </row>
        <row r="306">
          <cell r="B306">
            <v>4004001009</v>
          </cell>
          <cell r="C306" t="str">
            <v>SUMINISTRO E INSTALACION DE CODO HG 90° d=1"</v>
          </cell>
          <cell r="D306" t="str">
            <v>u</v>
          </cell>
        </row>
        <row r="307">
          <cell r="B307">
            <v>4004001010</v>
          </cell>
          <cell r="C307" t="str">
            <v>SUMINISTRO E INSTALACION DE TEE HG  d=3"</v>
          </cell>
          <cell r="D307" t="str">
            <v>u</v>
          </cell>
        </row>
        <row r="308">
          <cell r="B308">
            <v>4004001011</v>
          </cell>
          <cell r="C308" t="str">
            <v>SUMINISTRO E INSTALACION DE TEE HG  d=2 1/2"</v>
          </cell>
          <cell r="D308" t="str">
            <v>u</v>
          </cell>
        </row>
        <row r="309">
          <cell r="B309">
            <v>4004001012</v>
          </cell>
          <cell r="C309" t="str">
            <v>SUMINISTRO E INSTALACION DE TEE HG  d=1 1/2"</v>
          </cell>
          <cell r="D309" t="str">
            <v>u</v>
          </cell>
        </row>
        <row r="310">
          <cell r="B310">
            <v>4004001013</v>
          </cell>
          <cell r="C310" t="str">
            <v>SUMINISTRO E INSTALACION DE TEE HG  d=2"</v>
          </cell>
          <cell r="D310" t="str">
            <v>u</v>
          </cell>
        </row>
        <row r="311">
          <cell r="B311">
            <v>4004001014</v>
          </cell>
          <cell r="C311" t="str">
            <v>SUMINISTRO E INSTALACION DE REDUCCION HG DE 3" A 2 1/2"</v>
          </cell>
          <cell r="D311" t="str">
            <v>u</v>
          </cell>
        </row>
        <row r="312">
          <cell r="B312">
            <v>4004001015</v>
          </cell>
          <cell r="C312" t="str">
            <v>SUMINISTRO E INSTALACION DE REDUCCION HG DE 2 1/2" A 2"</v>
          </cell>
          <cell r="D312" t="str">
            <v>u</v>
          </cell>
        </row>
        <row r="313">
          <cell r="B313">
            <v>4004001016</v>
          </cell>
          <cell r="C313" t="str">
            <v>SUMINISTRO E INSTALACION DE REDUCCION HG DE 2 1/2" A 1 1/2"</v>
          </cell>
          <cell r="D313" t="str">
            <v>u</v>
          </cell>
        </row>
        <row r="314">
          <cell r="B314">
            <v>4004001017</v>
          </cell>
          <cell r="C314" t="str">
            <v>SUMINISTRO E INSTALACION DE REDUCCION HG DE 1 1/2" A 1/2"</v>
          </cell>
          <cell r="D314" t="str">
            <v>u</v>
          </cell>
        </row>
        <row r="315">
          <cell r="B315">
            <v>4004001018</v>
          </cell>
          <cell r="C315" t="str">
            <v>SUMINISTRO E INSTALACION DE REDUCCION HG DE 1 1/2" A 1"</v>
          </cell>
          <cell r="D315" t="str">
            <v>u</v>
          </cell>
        </row>
        <row r="316">
          <cell r="B316">
            <v>4004001019</v>
          </cell>
          <cell r="C316" t="str">
            <v>SUMINISTRO E INSTALACION DE REDUCCION HG DE 2" A 1 1/2"</v>
          </cell>
          <cell r="D316" t="str">
            <v>u</v>
          </cell>
        </row>
        <row r="317">
          <cell r="B317">
            <v>4004001020</v>
          </cell>
          <cell r="C317" t="str">
            <v>SUMINISTRO E INSTALACION DE TOMA SIAMESA</v>
          </cell>
          <cell r="D317" t="str">
            <v>u</v>
          </cell>
        </row>
        <row r="318">
          <cell r="B318">
            <v>4004001021</v>
          </cell>
          <cell r="C318" t="str">
            <v>SUMINISTRO E INSTALACION DE VALVULA CHECK d= 2 1/2"</v>
          </cell>
          <cell r="D318" t="str">
            <v>u</v>
          </cell>
        </row>
        <row r="319">
          <cell r="B319">
            <v>4004001022</v>
          </cell>
          <cell r="C319" t="str">
            <v>SUMINISTRO E INSTALACION DE VALVULA CHECK d= 3"</v>
          </cell>
          <cell r="D319" t="str">
            <v>u</v>
          </cell>
        </row>
        <row r="320">
          <cell r="B320">
            <v>4004001023</v>
          </cell>
          <cell r="C320" t="str">
            <v>SUMINISTRO E INSTALACION DE VALVULA DE COMPUERTA d= 2 1/2"</v>
          </cell>
          <cell r="D320" t="str">
            <v>u</v>
          </cell>
        </row>
        <row r="321">
          <cell r="B321">
            <v>4004001024</v>
          </cell>
          <cell r="C321" t="str">
            <v>SUMINISTRO E INSTALACION DE VALVULA DE COMPUERTA d= 2"</v>
          </cell>
          <cell r="D321" t="str">
            <v>u</v>
          </cell>
        </row>
        <row r="322">
          <cell r="B322">
            <v>4004001025</v>
          </cell>
          <cell r="C322" t="str">
            <v>SUMINISTRO E INSTALACION DE VALVULA DE COMPUERTA d= 1 1/2"</v>
          </cell>
          <cell r="D322" t="str">
            <v>u</v>
          </cell>
        </row>
        <row r="323">
          <cell r="B323">
            <v>4004001026</v>
          </cell>
          <cell r="C323" t="str">
            <v>SUMINISTRO E INSTALACION DE ROCIADORES AUTOMATICOS d=1/2"</v>
          </cell>
          <cell r="D323" t="str">
            <v>u</v>
          </cell>
        </row>
        <row r="324">
          <cell r="B324">
            <v>4004001027</v>
          </cell>
          <cell r="C324" t="str">
            <v>EXTINTOR DE PQS DE 10 lbs (INCLUYE SOPORTES)</v>
          </cell>
          <cell r="D324" t="str">
            <v>u</v>
          </cell>
        </row>
        <row r="325">
          <cell r="B325">
            <v>4004001028</v>
          </cell>
          <cell r="C325" t="str">
            <v>EXTINTOR DE CO2 DE 10 lbs (INCLUYE SOPORTES)</v>
          </cell>
          <cell r="D325" t="str">
            <v>u</v>
          </cell>
        </row>
        <row r="326">
          <cell r="B326">
            <v>4004001029</v>
          </cell>
          <cell r="C326" t="str">
            <v>SUMINISTRO E INSTALACION DE GABINETE CONTRA INCENDIOS EQUIPADO (MANGUERA DE 15m)</v>
          </cell>
          <cell r="D326" t="str">
            <v>u</v>
          </cell>
        </row>
        <row r="327">
          <cell r="B327">
            <v>4004001030</v>
          </cell>
          <cell r="C327" t="str">
            <v>SUMINISTRO E INSTALACION DE DETECTOR DE HUMO FOTOELECTRCO</v>
          </cell>
          <cell r="D327" t="str">
            <v>u</v>
          </cell>
        </row>
        <row r="328">
          <cell r="B328">
            <v>4004001031</v>
          </cell>
          <cell r="C328" t="str">
            <v>SUMINISTRO E INSTALACION DE BOMBAS CONTRA INCENDIOS</v>
          </cell>
          <cell r="D328" t="str">
            <v>u</v>
          </cell>
        </row>
        <row r="329">
          <cell r="B329">
            <v>4004002</v>
          </cell>
          <cell r="C329" t="str">
            <v>SISTEMA DE DETECCIÓN</v>
          </cell>
          <cell r="D329" t="str">
            <v/>
          </cell>
        </row>
        <row r="330">
          <cell r="B330">
            <v>4004002001</v>
          </cell>
          <cell r="C330" t="str">
            <v>SUMINISTRO E INSTALACION DE TUBERIA EMT 1/2" (3m)</v>
          </cell>
          <cell r="D330" t="str">
            <v>u</v>
          </cell>
        </row>
        <row r="331">
          <cell r="B331">
            <v>4004002002</v>
          </cell>
          <cell r="C331" t="str">
            <v>SUMINISTRO E INSTALACIÓN DE CONECTOR EMT DE 1/2"</v>
          </cell>
          <cell r="D331" t="str">
            <v>u</v>
          </cell>
        </row>
        <row r="332">
          <cell r="B332">
            <v>4004002003</v>
          </cell>
          <cell r="C332" t="str">
            <v>SUMINISTRO E INSTALACIÓN DE UNION EMT DE D1/2"</v>
          </cell>
          <cell r="D332" t="str">
            <v>u</v>
          </cell>
        </row>
        <row r="333">
          <cell r="B333">
            <v>4004002004</v>
          </cell>
          <cell r="C333" t="str">
            <v>SUMINISTRO E INSTALACIÓN DE CAJA CUADRADA 12 X 12cm</v>
          </cell>
          <cell r="D333" t="str">
            <v>u</v>
          </cell>
        </row>
        <row r="334">
          <cell r="B334">
            <v>4004002005</v>
          </cell>
          <cell r="C334" t="str">
            <v>SUMINISTRO E INSTALACIÓN DE TUBERIA EMT 3/4´</v>
          </cell>
          <cell r="D334" t="str">
            <v>u</v>
          </cell>
        </row>
        <row r="335">
          <cell r="B335">
            <v>4004002006</v>
          </cell>
          <cell r="C335" t="str">
            <v>SUMINISTRO E INSTALACIÓN DE CONECTOR EMT DE 3/4"</v>
          </cell>
          <cell r="D335" t="str">
            <v>u</v>
          </cell>
        </row>
        <row r="336">
          <cell r="B336">
            <v>4004002007</v>
          </cell>
          <cell r="C336" t="str">
            <v>SUMINISTRO E INSTALACIÓN DE UNION EMT DE D3/4"</v>
          </cell>
          <cell r="D336" t="str">
            <v>u</v>
          </cell>
        </row>
        <row r="337">
          <cell r="B337">
            <v>4004002008</v>
          </cell>
          <cell r="C337" t="str">
            <v>SUMINISTRO E INSTALACION DE TUBERIA EMT 1" (3m)</v>
          </cell>
          <cell r="D337" t="str">
            <v>u</v>
          </cell>
        </row>
        <row r="338">
          <cell r="B338">
            <v>4004002009</v>
          </cell>
          <cell r="C338" t="str">
            <v>SUMINISTRO E INSTALACIÓN DE CONECTOR EMT DE 1"</v>
          </cell>
          <cell r="D338" t="str">
            <v>u</v>
          </cell>
        </row>
        <row r="339">
          <cell r="B339">
            <v>4004002010</v>
          </cell>
          <cell r="C339" t="str">
            <v>SUMINISTRO E INSTALACIÓN DE UNION EMT DE D 1"</v>
          </cell>
          <cell r="D339" t="str">
            <v>u</v>
          </cell>
        </row>
        <row r="340">
          <cell r="B340">
            <v>4004002011</v>
          </cell>
          <cell r="C340" t="str">
            <v>SUMINISTRO E INSTALACION DE TUBERIA EMT 1 1/4" (3m)</v>
          </cell>
          <cell r="D340" t="str">
            <v>u</v>
          </cell>
        </row>
        <row r="341">
          <cell r="B341">
            <v>4004002012</v>
          </cell>
          <cell r="C341" t="str">
            <v>SUMINISTRO E INSTALACIÓN DE CONECTOR EMT DE 1 1/4"</v>
          </cell>
          <cell r="D341" t="str">
            <v>u</v>
          </cell>
        </row>
        <row r="342">
          <cell r="B342">
            <v>4004002013</v>
          </cell>
          <cell r="C342" t="str">
            <v>SUMINISTRO E INSTALACIÓN DE UNION EMT DE D1 1/4"</v>
          </cell>
          <cell r="D342" t="str">
            <v>u</v>
          </cell>
        </row>
        <row r="343">
          <cell r="B343">
            <v>4004002014</v>
          </cell>
          <cell r="C343" t="str">
            <v>SUMINISTRO E INSTALACION DE CAJETIN OCTOGONAL PARA CIRCUITO DE EMERGENCIA</v>
          </cell>
          <cell r="D343" t="str">
            <v>u</v>
          </cell>
        </row>
        <row r="344">
          <cell r="B344">
            <v>4004002015</v>
          </cell>
          <cell r="C344" t="str">
            <v>SUMINISTRO E INSTALACIÓN DE CAJETIN RECTANGULAR PROFUNDO PARA CIRCUITO DE EMERGENCIA</v>
          </cell>
          <cell r="D344" t="str">
            <v>u</v>
          </cell>
        </row>
        <row r="345">
          <cell r="B345">
            <v>4004002016</v>
          </cell>
          <cell r="C345" t="str">
            <v>SUMINISTRO Y TENDIDO DE CABLE CONDUCTOR #16 AWG, THW</v>
          </cell>
          <cell r="D345" t="str">
            <v>m</v>
          </cell>
        </row>
        <row r="346">
          <cell r="B346">
            <v>4004002017</v>
          </cell>
          <cell r="C346" t="str">
            <v>SUMINISTRO E INSTALACIÓN DE SENSORES DE HUMO</v>
          </cell>
          <cell r="D346" t="str">
            <v>u</v>
          </cell>
        </row>
        <row r="347">
          <cell r="B347">
            <v>4004002018</v>
          </cell>
          <cell r="C347" t="str">
            <v>SUMINISTRO E INSTALACIÓN DE LUZ ESTRABOSCOPICA Y SIRENA</v>
          </cell>
          <cell r="D347" t="str">
            <v>u</v>
          </cell>
        </row>
        <row r="348">
          <cell r="B348">
            <v>4004002019</v>
          </cell>
          <cell r="C348" t="str">
            <v>SUMINISTRO E INSTALACIÓN DE ESTACIÓN MANUAL</v>
          </cell>
          <cell r="D348" t="str">
            <v>u</v>
          </cell>
        </row>
        <row r="349">
          <cell r="B349">
            <v>4004002020</v>
          </cell>
          <cell r="C349" t="str">
            <v>SUMINISTRO E INSTALCIÓN DE CENTRAL CONTRA INCENDIOS</v>
          </cell>
          <cell r="D349" t="str">
            <v>u</v>
          </cell>
        </row>
        <row r="350">
          <cell r="B350">
            <v>4004002021</v>
          </cell>
          <cell r="C350" t="str">
            <v>SUMINISTRO  E INSTALCIÓN DE CAJA DE PASO 20 X 20 cm</v>
          </cell>
          <cell r="D350" t="str">
            <v>u</v>
          </cell>
        </row>
        <row r="351">
          <cell r="B351">
            <v>4004002022</v>
          </cell>
          <cell r="C351" t="str">
            <v>SUMINISTRO E INSTALCIÓN DE FUENTE DE ALIMENTACIÓN AUXILIAR (BATERIA)</v>
          </cell>
          <cell r="D351" t="str">
            <v>u</v>
          </cell>
        </row>
        <row r="352">
          <cell r="B352">
            <v>4004002023</v>
          </cell>
          <cell r="C352" t="str">
            <v>SUMINISTRO E INSTALACIÓN DE MÓDULO AISLADOR DE CORTO CIRCUITO</v>
          </cell>
          <cell r="D352" t="str">
            <v>u</v>
          </cell>
        </row>
        <row r="353">
          <cell r="B353">
            <v>4005</v>
          </cell>
          <cell r="C353" t="str">
            <v>INSTALACIÓN DE GAS CENTRALIZADO</v>
          </cell>
          <cell r="D353" t="str">
            <v/>
          </cell>
        </row>
        <row r="354">
          <cell r="B354">
            <v>4005001</v>
          </cell>
          <cell r="C354" t="str">
            <v>SUMINISTRO E INSTALACION DE TANQUE DE ALMACENAMIENTO DE GLP (1m3)</v>
          </cell>
          <cell r="D354" t="str">
            <v>U</v>
          </cell>
        </row>
        <row r="355">
          <cell r="B355">
            <v>4005002</v>
          </cell>
          <cell r="C355" t="str">
            <v>SUMINISTRO E INSTALACION DE TANQUE DE ALMACENAMIENTO DE GLP (2m3)</v>
          </cell>
          <cell r="D355" t="str">
            <v>U</v>
          </cell>
        </row>
        <row r="356">
          <cell r="B356">
            <v>4005003</v>
          </cell>
          <cell r="C356" t="str">
            <v>SUMINISTRO E INSTALACION DE LINEA DE CARGA DE GLP</v>
          </cell>
          <cell r="D356" t="str">
            <v>global</v>
          </cell>
        </row>
        <row r="357">
          <cell r="B357">
            <v>4005004</v>
          </cell>
          <cell r="C357" t="str">
            <v>SUMINISTRO E INSTALACION DE TUBERIA DE ACERO CEDULA 80 d=1 1/4"</v>
          </cell>
          <cell r="D357" t="str">
            <v>m</v>
          </cell>
        </row>
        <row r="358">
          <cell r="B358">
            <v>4005005</v>
          </cell>
          <cell r="C358" t="str">
            <v>SUMINISTRO E INSTLACION DE ANCLAJES DIELECTRICOS DE 1 1/4</v>
          </cell>
          <cell r="D358" t="str">
            <v>u</v>
          </cell>
        </row>
        <row r="359">
          <cell r="B359">
            <v>4005006</v>
          </cell>
          <cell r="C359" t="str">
            <v>SUMINISTRO E INSTALACION DE TOMA DE CARGA</v>
          </cell>
          <cell r="D359" t="str">
            <v>global</v>
          </cell>
        </row>
        <row r="360">
          <cell r="B360">
            <v>4005007</v>
          </cell>
          <cell r="C360" t="str">
            <v>SUMINISTRO E INSTALACION DE CAJETIN PARA TOMA DE CARGA</v>
          </cell>
          <cell r="D360" t="str">
            <v>u</v>
          </cell>
        </row>
        <row r="361">
          <cell r="B361">
            <v>4005008</v>
          </cell>
          <cell r="C361" t="str">
            <v>SUMINISTRO E INSTALACION DE MANOMETROS DE PRESION DE 0 A 2000psi</v>
          </cell>
          <cell r="D361" t="str">
            <v>u</v>
          </cell>
        </row>
        <row r="362">
          <cell r="B362">
            <v>4005009</v>
          </cell>
          <cell r="C362" t="str">
            <v>SUMINISTRO E INSTALACION DE AMORTIGUADORES DE VIBRACION 0,8cm x 1"</v>
          </cell>
          <cell r="D362" t="str">
            <v>u</v>
          </cell>
        </row>
        <row r="363">
          <cell r="B363">
            <v>4005010</v>
          </cell>
          <cell r="C363" t="str">
            <v>SUMINISTRO E INSTALACION DE ADAPTADOR DE MANGUERA</v>
          </cell>
          <cell r="D363" t="str">
            <v>u</v>
          </cell>
        </row>
        <row r="364">
          <cell r="B364">
            <v>4005011</v>
          </cell>
          <cell r="C364" t="str">
            <v>SUMINISTRO E INSTALACION DE VALVULA DE CARGA d= 1 1/4"</v>
          </cell>
          <cell r="D364" t="str">
            <v>u</v>
          </cell>
        </row>
        <row r="365">
          <cell r="B365">
            <v>4005012</v>
          </cell>
          <cell r="C365" t="str">
            <v>SUMINISTRO E INSTALACION DE TUBERIA DE ACERO CEDULA 40 d=1 1/4"</v>
          </cell>
          <cell r="D365" t="str">
            <v>m</v>
          </cell>
        </row>
        <row r="366">
          <cell r="B366">
            <v>4005013</v>
          </cell>
          <cell r="C366" t="str">
            <v>SUMINISTRO E INSTLACION DE ANCLAJES DIELECTRICOS DE 1 1/4</v>
          </cell>
          <cell r="D366" t="str">
            <v>u</v>
          </cell>
        </row>
        <row r="367">
          <cell r="B367">
            <v>4005014</v>
          </cell>
          <cell r="C367" t="str">
            <v>SUMINISTRO E INSTALACION DE TUBERIA DE ACERO CEDULA 40 d=1"</v>
          </cell>
          <cell r="D367" t="str">
            <v>m</v>
          </cell>
        </row>
        <row r="368">
          <cell r="B368">
            <v>4005015</v>
          </cell>
          <cell r="C368" t="str">
            <v>SUMINISTRO E INSTLACION DE ANCLAJES DIELECTRICOS DE 1</v>
          </cell>
          <cell r="D368" t="str">
            <v>u</v>
          </cell>
        </row>
        <row r="369">
          <cell r="B369">
            <v>4005016</v>
          </cell>
          <cell r="C369" t="str">
            <v>SUMINISTRO E INSTALACION DE REGULADOR DE PRIMERA ETAPA</v>
          </cell>
          <cell r="D369" t="str">
            <v>u</v>
          </cell>
        </row>
        <row r="370">
          <cell r="B370">
            <v>4005017</v>
          </cell>
          <cell r="C370" t="str">
            <v>SUMINISTRO E INSTALACION DE REGULADOR DE SEGUNDA ETAPA</v>
          </cell>
          <cell r="D370" t="str">
            <v>u</v>
          </cell>
        </row>
        <row r="371">
          <cell r="B371">
            <v>4005018</v>
          </cell>
          <cell r="C371" t="str">
            <v>SUMINISTRO E INSTALACION DE TUBERIA DE COBRE TIPO L 1/2"</v>
          </cell>
          <cell r="D371" t="str">
            <v>m</v>
          </cell>
        </row>
        <row r="372">
          <cell r="B372">
            <v>4005019</v>
          </cell>
          <cell r="C372" t="str">
            <v>SUMINISTRO E INSTALACION DE FORROS PARA TUBERIA 1/2"</v>
          </cell>
          <cell r="D372" t="str">
            <v>m</v>
          </cell>
        </row>
        <row r="373">
          <cell r="B373">
            <v>4005020</v>
          </cell>
          <cell r="C373" t="str">
            <v>SUMINISTRO E INSTALACION DE CODO DE ACERO 1"</v>
          </cell>
          <cell r="D373" t="str">
            <v>u</v>
          </cell>
        </row>
        <row r="374">
          <cell r="B374">
            <v>4005021</v>
          </cell>
          <cell r="C374" t="str">
            <v>SUMINISTRO E INSTALACION DE TEE DE ACERO 1"</v>
          </cell>
          <cell r="D374" t="str">
            <v>u</v>
          </cell>
        </row>
        <row r="375">
          <cell r="B375">
            <v>4005022</v>
          </cell>
          <cell r="C375" t="str">
            <v>SUMINISTRO E INSTALACION DE FILTROS PARA GLP 1/2"</v>
          </cell>
          <cell r="D375" t="str">
            <v>u</v>
          </cell>
        </row>
        <row r="376">
          <cell r="B376">
            <v>4005023</v>
          </cell>
          <cell r="C376" t="str">
            <v>SUMINISTRO E INSTALACION DE REDUCTORES ROSCA DE ACERO 1 1/4" A 1"</v>
          </cell>
          <cell r="D376" t="str">
            <v>u</v>
          </cell>
        </row>
        <row r="377">
          <cell r="B377">
            <v>4005024</v>
          </cell>
          <cell r="C377" t="str">
            <v>SUMINISTRO E INSTALACION DE REDUCTORES ROSCA DE ACERO 1" A 1/2"</v>
          </cell>
          <cell r="D377" t="str">
            <v>u</v>
          </cell>
        </row>
        <row r="378">
          <cell r="B378">
            <v>4005025</v>
          </cell>
          <cell r="C378" t="str">
            <v>SUMINISTRO E INSTALACION DE TEE DE COBRE SO-SO 1/2"</v>
          </cell>
          <cell r="D378" t="str">
            <v>u</v>
          </cell>
        </row>
        <row r="379">
          <cell r="B379">
            <v>4005026</v>
          </cell>
          <cell r="C379" t="str">
            <v>SUMINISTRO E INSTALACION DE TERMINALES DE COBRE SO-HE 1/2"</v>
          </cell>
          <cell r="D379" t="str">
            <v>u</v>
          </cell>
        </row>
        <row r="380">
          <cell r="B380">
            <v>4005027</v>
          </cell>
          <cell r="C380" t="str">
            <v>SUMINISTRO E INSTALACION DE UNION DE COBRE SO-SO 1/2"</v>
          </cell>
          <cell r="D380" t="str">
            <v>u</v>
          </cell>
        </row>
        <row r="381">
          <cell r="B381">
            <v>4005028</v>
          </cell>
          <cell r="C381" t="str">
            <v>SUMINISTRO E INSTALACION DE CODO DE COBRE SO-SO 1/2"</v>
          </cell>
          <cell r="D381" t="str">
            <v>u</v>
          </cell>
        </row>
        <row r="382">
          <cell r="B382">
            <v>4005029</v>
          </cell>
          <cell r="C382" t="str">
            <v>SUMINISTRO E INSTALACION DE CODO DE COBRE SO-HI 1/2"</v>
          </cell>
          <cell r="D382" t="str">
            <v>u</v>
          </cell>
        </row>
        <row r="383">
          <cell r="B383">
            <v>4005030</v>
          </cell>
          <cell r="C383" t="str">
            <v>SUMINISTRO E INSTALACION DE VALVULAS PITON 1/2" PARA GLP</v>
          </cell>
          <cell r="D383" t="str">
            <v>u</v>
          </cell>
        </row>
        <row r="384">
          <cell r="B384">
            <v>4005031</v>
          </cell>
          <cell r="C384" t="str">
            <v>SUMINISTRO E INSTALACION DE VALVULAS DE CORTE 1/2" PARA GLP ANTIFRAUDE</v>
          </cell>
          <cell r="D384" t="str">
            <v>u</v>
          </cell>
        </row>
        <row r="385">
          <cell r="B385">
            <v>4005032</v>
          </cell>
          <cell r="C385" t="str">
            <v>SUMINISTRO E INSTALACION DE VALVULAS DE ESFERA 1/2" PARA GLP</v>
          </cell>
          <cell r="D385" t="str">
            <v>u</v>
          </cell>
        </row>
        <row r="386">
          <cell r="B386">
            <v>4005033</v>
          </cell>
          <cell r="C386" t="str">
            <v>SUMINISTRO Y COLOCACION DE CONTADORES VOLUMETRICOS</v>
          </cell>
          <cell r="D386" t="str">
            <v>u</v>
          </cell>
        </row>
        <row r="387">
          <cell r="B387">
            <v>4005034</v>
          </cell>
          <cell r="C387" t="str">
            <v>SUMINISTRO E INSTALACION DE VALVULA DE ALIVIO POR SOBREPRESION</v>
          </cell>
          <cell r="D387" t="str">
            <v>u</v>
          </cell>
        </row>
        <row r="388">
          <cell r="B388">
            <v>4005035</v>
          </cell>
          <cell r="C388" t="str">
            <v>SUMINISTRO E INSTALACION DE VALVULAS DE ESFERA 1" PARA GLP</v>
          </cell>
          <cell r="D388" t="str">
            <v>u</v>
          </cell>
        </row>
        <row r="389">
          <cell r="B389">
            <v>4005036</v>
          </cell>
          <cell r="C389" t="str">
            <v>SUMINISTRO E INSTALACION DE VALVULA DE BLOQUEO POR SOBREFLUJO</v>
          </cell>
          <cell r="D389" t="str">
            <v>u</v>
          </cell>
        </row>
        <row r="390">
          <cell r="B390">
            <v>4005037</v>
          </cell>
          <cell r="C390" t="str">
            <v>SUMINISTRO E INSTALACION DE ANCLAJES DE TANQUES</v>
          </cell>
          <cell r="D390" t="str">
            <v>global</v>
          </cell>
        </row>
        <row r="391">
          <cell r="B391">
            <v>4005038</v>
          </cell>
          <cell r="C391" t="str">
            <v>SUMINISTRO E INSTALACION DE ATERRIZAJE DE TANQUES Y CISTERNA</v>
          </cell>
          <cell r="D391" t="str">
            <v>global</v>
          </cell>
        </row>
        <row r="392">
          <cell r="B392">
            <v>4005039</v>
          </cell>
          <cell r="C392" t="str">
            <v>INSTALACION A TIERRA DEL DEPOSITO (CABLE DE COBRE #4)</v>
          </cell>
          <cell r="D392" t="str">
            <v>m</v>
          </cell>
        </row>
        <row r="393">
          <cell r="B393">
            <v>4006</v>
          </cell>
          <cell r="C393" t="str">
            <v>INSTALACIONES ESPECIALES</v>
          </cell>
          <cell r="D393" t="str">
            <v/>
          </cell>
        </row>
        <row r="394">
          <cell r="B394">
            <v>4006001</v>
          </cell>
          <cell r="C394" t="str">
            <v>SUMINISTRO E INSTALACION DE  ASCENSORES 550 KG DE CAPACIDAD</v>
          </cell>
          <cell r="D394" t="str">
            <v>u</v>
          </cell>
        </row>
        <row r="395">
          <cell r="B395">
            <v>5</v>
          </cell>
          <cell r="C395" t="str">
            <v>EQUIPAMIENTO Y OTROS</v>
          </cell>
          <cell r="D395" t="str">
            <v/>
          </cell>
        </row>
        <row r="396">
          <cell r="B396">
            <v>5001</v>
          </cell>
          <cell r="C396" t="str">
            <v>SUMINISTRO E INSTALACIÓN DE EXTRACTOR DE OLORES DE COCINA L=90cm (INCLUYE TUBO ANILLADO)</v>
          </cell>
          <cell r="D396" t="str">
            <v>u</v>
          </cell>
        </row>
        <row r="397">
          <cell r="B397">
            <v>5002</v>
          </cell>
          <cell r="C397" t="str">
            <v>SUMINISTRO E INSTALACIÓN DE TUBERIA PVC PARA VENTILACIÓN D=110 mm</v>
          </cell>
          <cell r="D397" t="str">
            <v>m</v>
          </cell>
        </row>
        <row r="398">
          <cell r="B398">
            <v>5003</v>
          </cell>
          <cell r="C398" t="str">
            <v>BORDILLO INCORPORADO f´c=180kg/cm2, e=8cm; h=30cm</v>
          </cell>
          <cell r="D398" t="str">
            <v>m</v>
          </cell>
        </row>
        <row r="399">
          <cell r="B399">
            <v>5004</v>
          </cell>
          <cell r="C399" t="str">
            <v>SUMINISTRO Y APLICACIÓN DE PINTURA REFLECTIVA PARA SEÑALIZACION DE TRAFICO</v>
          </cell>
          <cell r="D399" t="str">
            <v>m</v>
          </cell>
        </row>
        <row r="400">
          <cell r="B400">
            <v>5005</v>
          </cell>
          <cell r="C400" t="str">
            <v>SUMINISTRO Y APLICACIÓN DE PINTURA REFLECTIVA PARA NUMERACIÓN DE PARQUEOS</v>
          </cell>
          <cell r="D400" t="str">
            <v>m</v>
          </cell>
        </row>
        <row r="401">
          <cell r="B401">
            <v>5006</v>
          </cell>
          <cell r="C401" t="str">
            <v>SUMINISTRO E INSTALACIÓN DE SEÑALIZACIÓN PARA SALIDAS DE EMERGENCIA</v>
          </cell>
          <cell r="D401" t="str">
            <v>u</v>
          </cell>
        </row>
        <row r="402">
          <cell r="B402">
            <v>5007</v>
          </cell>
          <cell r="C402" t="str">
            <v>SUMINISTRO E INSTALACIÓN DE SEÑALIZACIÓN PARA UBICACIÓN DE ASCENSORES</v>
          </cell>
          <cell r="D402" t="str">
            <v>m2</v>
          </cell>
        </row>
        <row r="403">
          <cell r="B403">
            <v>5008</v>
          </cell>
          <cell r="C403" t="str">
            <v>SUMINISTRO E INSTALACIÓN DE SEÑALIZACIÓN PARA UBICACIÓN DE GRADAS</v>
          </cell>
          <cell r="D403" t="str">
            <v>m2</v>
          </cell>
        </row>
        <row r="404">
          <cell r="B404">
            <v>5009</v>
          </cell>
          <cell r="C404" t="str">
            <v>SUMINISTRO E INSTALACIÓN DE SEÑALIZACIÓN TIPO REFLECTIVA PARA EXTINTORES</v>
          </cell>
          <cell r="D404" t="str">
            <v>m2</v>
          </cell>
        </row>
        <row r="405">
          <cell r="B405">
            <v>5010</v>
          </cell>
          <cell r="C405" t="str">
            <v>SUMINISTRO E INSTALACIÓN DE SEÑALIZACIÓN PARA UBICACIÓN DE LETREROS NO FUMAR</v>
          </cell>
          <cell r="D405" t="str">
            <v>m2</v>
          </cell>
        </row>
        <row r="406">
          <cell r="B406">
            <v>5011</v>
          </cell>
          <cell r="C406" t="str">
            <v>SUMINISTRO E INSTALACIÓN DE SEÑALIZACIÓN TIPO REFLECTIVA PARA VÍAS DE EVACUACIÓN</v>
          </cell>
          <cell r="D406" t="str">
            <v>m2</v>
          </cell>
        </row>
        <row r="407">
          <cell r="B407"/>
          <cell r="C407"/>
          <cell r="D407"/>
        </row>
      </sheetData>
      <sheetData sheetId="2"/>
      <sheetData sheetId="3"/>
      <sheetData sheetId="4">
        <row r="234">
          <cell r="H234" t="str">
            <v xml:space="preserve">TOTAL ACERO EN DIAFRAGMA 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34">
          <cell r="H34" t="str">
            <v>TOTAL ACERO EN COLUMNAS BLOQUE 1 A6 - A6 HASTA N=20,16</v>
          </cell>
        </row>
      </sheetData>
      <sheetData sheetId="12"/>
      <sheetData sheetId="13"/>
      <sheetData sheetId="14"/>
      <sheetData sheetId="15">
        <row r="38">
          <cell r="B38" t="str">
            <v>m2. POR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abSelected="1" workbookViewId="0">
      <selection activeCell="E15" sqref="E15"/>
    </sheetView>
  </sheetViews>
  <sheetFormatPr baseColWidth="10" defaultColWidth="9.140625" defaultRowHeight="15" x14ac:dyDescent="0.25"/>
  <cols>
    <col min="1" max="1" width="14.140625" bestFit="1" customWidth="1"/>
    <col min="2" max="2" width="10" bestFit="1" customWidth="1"/>
    <col min="3" max="3" width="15.28515625" bestFit="1" customWidth="1"/>
    <col min="4" max="4" width="13.28515625" bestFit="1" customWidth="1"/>
    <col min="5" max="5" width="39.28515625" bestFit="1" customWidth="1"/>
    <col min="6" max="6" width="14.7109375" bestFit="1" customWidth="1"/>
    <col min="7" max="7" width="13" bestFit="1" customWidth="1"/>
    <col min="8" max="8" width="9.42578125" bestFit="1" customWidth="1"/>
    <col min="9" max="9" width="15" bestFit="1" customWidth="1"/>
    <col min="10" max="10" width="15.28515625" bestFit="1" customWidth="1"/>
    <col min="11" max="11" width="13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2" t="s">
        <v>10</v>
      </c>
    </row>
    <row r="2" spans="1:11" x14ac:dyDescent="0.25">
      <c r="A2" s="4">
        <v>29</v>
      </c>
      <c r="B2" s="5" t="s">
        <v>11</v>
      </c>
      <c r="C2" s="5"/>
      <c r="D2" s="4">
        <v>256</v>
      </c>
      <c r="E2" s="5" t="s">
        <v>12</v>
      </c>
      <c r="F2" s="6" t="s">
        <v>13</v>
      </c>
      <c r="G2" s="7"/>
      <c r="H2" s="7"/>
      <c r="I2" s="7" t="s">
        <v>14</v>
      </c>
      <c r="J2" s="8"/>
      <c r="K2" s="5" t="s">
        <v>15</v>
      </c>
    </row>
    <row r="3" spans="1:11" x14ac:dyDescent="0.25">
      <c r="A3" s="9">
        <v>29</v>
      </c>
      <c r="B3" s="10" t="s">
        <v>11</v>
      </c>
      <c r="C3" s="10"/>
      <c r="D3" s="9">
        <v>256</v>
      </c>
      <c r="E3" s="10" t="s">
        <v>12</v>
      </c>
      <c r="F3" s="11" t="s">
        <v>13</v>
      </c>
      <c r="G3" s="12"/>
      <c r="H3" s="12"/>
      <c r="I3" s="12" t="s">
        <v>16</v>
      </c>
      <c r="J3" s="13"/>
      <c r="K3" s="10" t="s">
        <v>15</v>
      </c>
    </row>
    <row r="4" spans="1:11" x14ac:dyDescent="0.25">
      <c r="A4" s="4">
        <v>29</v>
      </c>
      <c r="B4" s="5" t="s">
        <v>11</v>
      </c>
      <c r="C4" s="5"/>
      <c r="D4" s="4">
        <v>256</v>
      </c>
      <c r="E4" s="5" t="s">
        <v>12</v>
      </c>
      <c r="F4" s="6" t="s">
        <v>13</v>
      </c>
      <c r="G4" s="7"/>
      <c r="H4" s="7"/>
      <c r="I4" s="7" t="s">
        <v>17</v>
      </c>
      <c r="J4" s="8"/>
      <c r="K4" s="5" t="s">
        <v>15</v>
      </c>
    </row>
    <row r="5" spans="1:11" x14ac:dyDescent="0.25">
      <c r="A5" s="9">
        <v>29</v>
      </c>
      <c r="B5" s="10" t="s">
        <v>11</v>
      </c>
      <c r="C5" s="10"/>
      <c r="D5" s="9">
        <v>256</v>
      </c>
      <c r="E5" s="10" t="s">
        <v>12</v>
      </c>
      <c r="F5" s="11" t="s">
        <v>13</v>
      </c>
      <c r="G5" s="12"/>
      <c r="H5" s="12"/>
      <c r="I5" s="12" t="s">
        <v>18</v>
      </c>
      <c r="J5" s="13"/>
      <c r="K5" s="10" t="s">
        <v>15</v>
      </c>
    </row>
    <row r="6" spans="1:11" x14ac:dyDescent="0.25">
      <c r="A6" s="4">
        <v>29</v>
      </c>
      <c r="B6" s="5" t="s">
        <v>11</v>
      </c>
      <c r="C6" s="5"/>
      <c r="D6" s="4">
        <v>257</v>
      </c>
      <c r="E6" s="5" t="s">
        <v>19</v>
      </c>
      <c r="F6" s="6" t="s">
        <v>13</v>
      </c>
      <c r="G6" s="7"/>
      <c r="H6" s="7"/>
      <c r="I6" s="7" t="s">
        <v>14</v>
      </c>
      <c r="J6" s="8"/>
      <c r="K6" s="5" t="s">
        <v>15</v>
      </c>
    </row>
    <row r="7" spans="1:11" x14ac:dyDescent="0.25">
      <c r="A7" s="9">
        <v>29</v>
      </c>
      <c r="B7" s="10" t="s">
        <v>11</v>
      </c>
      <c r="C7" s="10"/>
      <c r="D7" s="9">
        <v>257</v>
      </c>
      <c r="E7" s="10" t="s">
        <v>19</v>
      </c>
      <c r="F7" s="11" t="s">
        <v>13</v>
      </c>
      <c r="G7" s="12"/>
      <c r="H7" s="12"/>
      <c r="I7" s="12" t="s">
        <v>16</v>
      </c>
      <c r="J7" s="13"/>
      <c r="K7" s="10" t="s">
        <v>15</v>
      </c>
    </row>
    <row r="8" spans="1:11" x14ac:dyDescent="0.25">
      <c r="A8" s="4">
        <v>29</v>
      </c>
      <c r="B8" s="5" t="s">
        <v>11</v>
      </c>
      <c r="C8" s="5"/>
      <c r="D8" s="4">
        <v>257</v>
      </c>
      <c r="E8" s="5" t="s">
        <v>19</v>
      </c>
      <c r="F8" s="6" t="s">
        <v>13</v>
      </c>
      <c r="G8" s="7"/>
      <c r="H8" s="7"/>
      <c r="I8" s="7" t="s">
        <v>17</v>
      </c>
      <c r="J8" s="8"/>
      <c r="K8" s="5" t="s">
        <v>15</v>
      </c>
    </row>
    <row r="9" spans="1:11" x14ac:dyDescent="0.25">
      <c r="A9" s="9">
        <v>29</v>
      </c>
      <c r="B9" s="10" t="s">
        <v>11</v>
      </c>
      <c r="C9" s="10"/>
      <c r="D9" s="9">
        <v>257</v>
      </c>
      <c r="E9" s="10" t="s">
        <v>19</v>
      </c>
      <c r="F9" s="11" t="s">
        <v>13</v>
      </c>
      <c r="G9" s="12"/>
      <c r="H9" s="12"/>
      <c r="I9" s="12" t="s">
        <v>18</v>
      </c>
      <c r="J9" s="13"/>
      <c r="K9" s="10" t="s">
        <v>15</v>
      </c>
    </row>
    <row r="10" spans="1:11" x14ac:dyDescent="0.25">
      <c r="A10" s="4">
        <v>29</v>
      </c>
      <c r="B10" s="5" t="s">
        <v>11</v>
      </c>
      <c r="C10" s="5"/>
      <c r="D10" s="4">
        <v>258</v>
      </c>
      <c r="E10" s="5" t="s">
        <v>20</v>
      </c>
      <c r="F10" s="6" t="s">
        <v>13</v>
      </c>
      <c r="G10" s="7"/>
      <c r="H10" s="7"/>
      <c r="I10" s="7" t="s">
        <v>14</v>
      </c>
      <c r="J10" s="8"/>
      <c r="K10" s="5" t="s">
        <v>15</v>
      </c>
    </row>
    <row r="11" spans="1:11" x14ac:dyDescent="0.25">
      <c r="A11" s="9">
        <v>29</v>
      </c>
      <c r="B11" s="10" t="s">
        <v>11</v>
      </c>
      <c r="C11" s="10"/>
      <c r="D11" s="9">
        <v>258</v>
      </c>
      <c r="E11" s="10" t="s">
        <v>20</v>
      </c>
      <c r="F11" s="11" t="s">
        <v>13</v>
      </c>
      <c r="G11" s="12"/>
      <c r="H11" s="12"/>
      <c r="I11" s="12" t="s">
        <v>16</v>
      </c>
      <c r="J11" s="13"/>
      <c r="K11" s="10" t="s">
        <v>15</v>
      </c>
    </row>
    <row r="12" spans="1:11" x14ac:dyDescent="0.25">
      <c r="A12" s="4">
        <v>29</v>
      </c>
      <c r="B12" s="5" t="s">
        <v>11</v>
      </c>
      <c r="C12" s="5"/>
      <c r="D12" s="4">
        <v>258</v>
      </c>
      <c r="E12" s="5" t="s">
        <v>20</v>
      </c>
      <c r="F12" s="6" t="s">
        <v>13</v>
      </c>
      <c r="G12" s="7"/>
      <c r="H12" s="7"/>
      <c r="I12" s="7" t="s">
        <v>17</v>
      </c>
      <c r="J12" s="8"/>
      <c r="K12" s="5" t="s">
        <v>15</v>
      </c>
    </row>
    <row r="13" spans="1:11" x14ac:dyDescent="0.25">
      <c r="A13" s="9">
        <v>29</v>
      </c>
      <c r="B13" s="10" t="s">
        <v>11</v>
      </c>
      <c r="C13" s="10"/>
      <c r="D13" s="9">
        <v>258</v>
      </c>
      <c r="E13" s="10" t="s">
        <v>20</v>
      </c>
      <c r="F13" s="11" t="s">
        <v>13</v>
      </c>
      <c r="G13" s="12"/>
      <c r="H13" s="12"/>
      <c r="I13" s="12" t="s">
        <v>18</v>
      </c>
      <c r="J13" s="13"/>
      <c r="K13" s="10" t="s">
        <v>15</v>
      </c>
    </row>
    <row r="14" spans="1:11" x14ac:dyDescent="0.25">
      <c r="A14" s="4">
        <v>29</v>
      </c>
      <c r="B14" s="5" t="s">
        <v>11</v>
      </c>
      <c r="C14" s="5"/>
      <c r="D14" s="4">
        <v>259</v>
      </c>
      <c r="E14" s="5" t="s">
        <v>21</v>
      </c>
      <c r="F14" s="6" t="s">
        <v>13</v>
      </c>
      <c r="G14" s="7"/>
      <c r="H14" s="7"/>
      <c r="I14" s="7" t="s">
        <v>14</v>
      </c>
      <c r="J14" s="8"/>
      <c r="K14" s="5" t="s">
        <v>15</v>
      </c>
    </row>
    <row r="15" spans="1:11" x14ac:dyDescent="0.25">
      <c r="A15" s="9">
        <v>29</v>
      </c>
      <c r="B15" s="10" t="s">
        <v>11</v>
      </c>
      <c r="C15" s="10"/>
      <c r="D15" s="9">
        <v>259</v>
      </c>
      <c r="E15" s="10" t="s">
        <v>21</v>
      </c>
      <c r="F15" s="11" t="s">
        <v>13</v>
      </c>
      <c r="G15" s="12"/>
      <c r="H15" s="12"/>
      <c r="I15" s="12" t="s">
        <v>16</v>
      </c>
      <c r="J15" s="13"/>
      <c r="K15" s="10" t="s">
        <v>15</v>
      </c>
    </row>
    <row r="16" spans="1:11" x14ac:dyDescent="0.25">
      <c r="A16" s="4">
        <v>29</v>
      </c>
      <c r="B16" s="5" t="s">
        <v>11</v>
      </c>
      <c r="C16" s="5"/>
      <c r="D16" s="4">
        <v>259</v>
      </c>
      <c r="E16" s="5" t="s">
        <v>21</v>
      </c>
      <c r="F16" s="6" t="s">
        <v>13</v>
      </c>
      <c r="G16" s="7"/>
      <c r="H16" s="7"/>
      <c r="I16" s="7" t="s">
        <v>17</v>
      </c>
      <c r="J16" s="8"/>
      <c r="K16" s="5" t="s">
        <v>15</v>
      </c>
    </row>
    <row r="17" spans="1:11" x14ac:dyDescent="0.25">
      <c r="A17" s="9">
        <v>29</v>
      </c>
      <c r="B17" s="10" t="s">
        <v>11</v>
      </c>
      <c r="C17" s="10"/>
      <c r="D17" s="9">
        <v>259</v>
      </c>
      <c r="E17" s="10" t="s">
        <v>21</v>
      </c>
      <c r="F17" s="11" t="s">
        <v>13</v>
      </c>
      <c r="G17" s="12"/>
      <c r="H17" s="12"/>
      <c r="I17" s="12" t="s">
        <v>18</v>
      </c>
      <c r="J17" s="13"/>
      <c r="K17" s="10" t="s">
        <v>15</v>
      </c>
    </row>
    <row r="18" spans="1:11" x14ac:dyDescent="0.25">
      <c r="A18" s="4">
        <v>29</v>
      </c>
      <c r="B18" s="5" t="s">
        <v>11</v>
      </c>
      <c r="C18" s="5"/>
      <c r="D18" s="4">
        <v>260</v>
      </c>
      <c r="E18" s="5" t="s">
        <v>22</v>
      </c>
      <c r="F18" s="6" t="s">
        <v>13</v>
      </c>
      <c r="G18" s="7"/>
      <c r="H18" s="7"/>
      <c r="I18" s="7" t="s">
        <v>14</v>
      </c>
      <c r="J18" s="8"/>
      <c r="K18" s="5" t="s">
        <v>15</v>
      </c>
    </row>
    <row r="19" spans="1:11" x14ac:dyDescent="0.25">
      <c r="A19" s="9">
        <v>29</v>
      </c>
      <c r="B19" s="10" t="s">
        <v>11</v>
      </c>
      <c r="C19" s="10"/>
      <c r="D19" s="9">
        <v>260</v>
      </c>
      <c r="E19" s="10" t="s">
        <v>22</v>
      </c>
      <c r="F19" s="11" t="s">
        <v>13</v>
      </c>
      <c r="G19" s="12"/>
      <c r="H19" s="12"/>
      <c r="I19" s="12" t="s">
        <v>16</v>
      </c>
      <c r="J19" s="13"/>
      <c r="K19" s="10" t="s">
        <v>15</v>
      </c>
    </row>
    <row r="20" spans="1:11" x14ac:dyDescent="0.25">
      <c r="A20" s="4">
        <v>29</v>
      </c>
      <c r="B20" s="5" t="s">
        <v>11</v>
      </c>
      <c r="C20" s="5"/>
      <c r="D20" s="4">
        <v>260</v>
      </c>
      <c r="E20" s="5" t="s">
        <v>22</v>
      </c>
      <c r="F20" s="6" t="s">
        <v>13</v>
      </c>
      <c r="G20" s="7"/>
      <c r="H20" s="7"/>
      <c r="I20" s="7" t="s">
        <v>17</v>
      </c>
      <c r="J20" s="8"/>
      <c r="K20" s="5" t="s">
        <v>15</v>
      </c>
    </row>
    <row r="21" spans="1:11" x14ac:dyDescent="0.25">
      <c r="A21" s="9">
        <v>29</v>
      </c>
      <c r="B21" s="10" t="s">
        <v>11</v>
      </c>
      <c r="C21" s="10"/>
      <c r="D21" s="9">
        <v>260</v>
      </c>
      <c r="E21" s="10" t="s">
        <v>22</v>
      </c>
      <c r="F21" s="11" t="s">
        <v>13</v>
      </c>
      <c r="G21" s="12"/>
      <c r="H21" s="12"/>
      <c r="I21" s="12" t="s">
        <v>18</v>
      </c>
      <c r="J21" s="13"/>
      <c r="K21" s="10" t="s">
        <v>15</v>
      </c>
    </row>
    <row r="22" spans="1:11" x14ac:dyDescent="0.25">
      <c r="A22" s="4">
        <v>29</v>
      </c>
      <c r="B22" s="5" t="s">
        <v>11</v>
      </c>
      <c r="C22" s="5"/>
      <c r="D22" s="4">
        <v>261</v>
      </c>
      <c r="E22" s="5" t="s">
        <v>23</v>
      </c>
      <c r="F22" s="6" t="s">
        <v>13</v>
      </c>
      <c r="G22" s="7"/>
      <c r="H22" s="7"/>
      <c r="I22" s="7" t="s">
        <v>14</v>
      </c>
      <c r="J22" s="8"/>
      <c r="K22" s="5" t="s">
        <v>15</v>
      </c>
    </row>
    <row r="23" spans="1:11" x14ac:dyDescent="0.25">
      <c r="A23" s="9">
        <v>29</v>
      </c>
      <c r="B23" s="10" t="s">
        <v>11</v>
      </c>
      <c r="C23" s="10"/>
      <c r="D23" s="9">
        <v>261</v>
      </c>
      <c r="E23" s="10" t="s">
        <v>23</v>
      </c>
      <c r="F23" s="11" t="s">
        <v>13</v>
      </c>
      <c r="G23" s="12"/>
      <c r="H23" s="12"/>
      <c r="I23" s="12" t="s">
        <v>16</v>
      </c>
      <c r="J23" s="13"/>
      <c r="K23" s="10" t="s">
        <v>15</v>
      </c>
    </row>
    <row r="24" spans="1:11" x14ac:dyDescent="0.25">
      <c r="A24" s="4">
        <v>29</v>
      </c>
      <c r="B24" s="5" t="s">
        <v>11</v>
      </c>
      <c r="C24" s="5"/>
      <c r="D24" s="4">
        <v>261</v>
      </c>
      <c r="E24" s="5" t="s">
        <v>23</v>
      </c>
      <c r="F24" s="6" t="s">
        <v>13</v>
      </c>
      <c r="G24" s="7"/>
      <c r="H24" s="7"/>
      <c r="I24" s="7" t="s">
        <v>17</v>
      </c>
      <c r="J24" s="8"/>
      <c r="K24" s="5" t="s">
        <v>15</v>
      </c>
    </row>
    <row r="25" spans="1:11" x14ac:dyDescent="0.25">
      <c r="A25" s="9">
        <v>29</v>
      </c>
      <c r="B25" s="10" t="s">
        <v>11</v>
      </c>
      <c r="C25" s="10"/>
      <c r="D25" s="9">
        <v>261</v>
      </c>
      <c r="E25" s="10" t="s">
        <v>23</v>
      </c>
      <c r="F25" s="11" t="s">
        <v>13</v>
      </c>
      <c r="G25" s="12"/>
      <c r="H25" s="12"/>
      <c r="I25" s="12" t="s">
        <v>18</v>
      </c>
      <c r="J25" s="13"/>
      <c r="K25" s="10" t="s">
        <v>15</v>
      </c>
    </row>
    <row r="26" spans="1:11" x14ac:dyDescent="0.25">
      <c r="A26" s="4">
        <v>29</v>
      </c>
      <c r="B26" s="5" t="s">
        <v>11</v>
      </c>
      <c r="C26" s="5"/>
      <c r="D26" s="4">
        <v>262</v>
      </c>
      <c r="E26" s="5" t="s">
        <v>24</v>
      </c>
      <c r="F26" s="6" t="s">
        <v>13</v>
      </c>
      <c r="G26" s="7"/>
      <c r="H26" s="7"/>
      <c r="I26" s="7" t="s">
        <v>14</v>
      </c>
      <c r="J26" s="8"/>
      <c r="K26" s="5" t="s">
        <v>15</v>
      </c>
    </row>
    <row r="27" spans="1:11" x14ac:dyDescent="0.25">
      <c r="A27" s="9">
        <v>29</v>
      </c>
      <c r="B27" s="10" t="s">
        <v>11</v>
      </c>
      <c r="C27" s="10"/>
      <c r="D27" s="9">
        <v>262</v>
      </c>
      <c r="E27" s="10" t="s">
        <v>24</v>
      </c>
      <c r="F27" s="11" t="s">
        <v>13</v>
      </c>
      <c r="G27" s="12"/>
      <c r="H27" s="12"/>
      <c r="I27" s="12" t="s">
        <v>16</v>
      </c>
      <c r="J27" s="13"/>
      <c r="K27" s="10" t="s">
        <v>15</v>
      </c>
    </row>
    <row r="28" spans="1:11" x14ac:dyDescent="0.25">
      <c r="A28" s="4">
        <v>29</v>
      </c>
      <c r="B28" s="5" t="s">
        <v>11</v>
      </c>
      <c r="C28" s="5"/>
      <c r="D28" s="4">
        <v>262</v>
      </c>
      <c r="E28" s="5" t="s">
        <v>24</v>
      </c>
      <c r="F28" s="6" t="s">
        <v>13</v>
      </c>
      <c r="G28" s="7"/>
      <c r="H28" s="7"/>
      <c r="I28" s="7" t="s">
        <v>17</v>
      </c>
      <c r="J28" s="8"/>
      <c r="K28" s="5" t="s">
        <v>15</v>
      </c>
    </row>
    <row r="29" spans="1:11" x14ac:dyDescent="0.25">
      <c r="A29" s="9">
        <v>29</v>
      </c>
      <c r="B29" s="10" t="s">
        <v>11</v>
      </c>
      <c r="C29" s="10"/>
      <c r="D29" s="9">
        <v>262</v>
      </c>
      <c r="E29" s="10" t="s">
        <v>24</v>
      </c>
      <c r="F29" s="11" t="s">
        <v>13</v>
      </c>
      <c r="G29" s="12"/>
      <c r="H29" s="12"/>
      <c r="I29" s="12" t="s">
        <v>18</v>
      </c>
      <c r="J29" s="13"/>
      <c r="K29" s="10" t="s">
        <v>15</v>
      </c>
    </row>
    <row r="30" spans="1:11" x14ac:dyDescent="0.25">
      <c r="A30" s="4">
        <v>29</v>
      </c>
      <c r="B30" s="5" t="s">
        <v>11</v>
      </c>
      <c r="C30" s="5"/>
      <c r="D30" s="4">
        <v>263</v>
      </c>
      <c r="E30" s="5" t="s">
        <v>25</v>
      </c>
      <c r="F30" s="6" t="s">
        <v>13</v>
      </c>
      <c r="G30" s="7"/>
      <c r="H30" s="7"/>
      <c r="I30" s="7" t="s">
        <v>14</v>
      </c>
      <c r="J30" s="8"/>
      <c r="K30" s="5" t="s">
        <v>15</v>
      </c>
    </row>
    <row r="31" spans="1:11" x14ac:dyDescent="0.25">
      <c r="A31" s="9">
        <v>29</v>
      </c>
      <c r="B31" s="10" t="s">
        <v>11</v>
      </c>
      <c r="C31" s="10"/>
      <c r="D31" s="9">
        <v>263</v>
      </c>
      <c r="E31" s="10" t="s">
        <v>25</v>
      </c>
      <c r="F31" s="11" t="s">
        <v>13</v>
      </c>
      <c r="G31" s="12"/>
      <c r="H31" s="12"/>
      <c r="I31" s="12" t="s">
        <v>16</v>
      </c>
      <c r="J31" s="13"/>
      <c r="K31" s="10" t="s">
        <v>15</v>
      </c>
    </row>
    <row r="32" spans="1:11" x14ac:dyDescent="0.25">
      <c r="A32" s="4">
        <v>29</v>
      </c>
      <c r="B32" s="5" t="s">
        <v>11</v>
      </c>
      <c r="C32" s="5"/>
      <c r="D32" s="4">
        <v>263</v>
      </c>
      <c r="E32" s="5" t="s">
        <v>25</v>
      </c>
      <c r="F32" s="6" t="s">
        <v>13</v>
      </c>
      <c r="G32" s="7"/>
      <c r="H32" s="7"/>
      <c r="I32" s="7" t="s">
        <v>17</v>
      </c>
      <c r="J32" s="8"/>
      <c r="K32" s="5" t="s">
        <v>15</v>
      </c>
    </row>
    <row r="33" spans="1:11" x14ac:dyDescent="0.25">
      <c r="A33" s="9">
        <v>29</v>
      </c>
      <c r="B33" s="10" t="s">
        <v>11</v>
      </c>
      <c r="C33" s="10"/>
      <c r="D33" s="9">
        <v>263</v>
      </c>
      <c r="E33" s="10" t="s">
        <v>25</v>
      </c>
      <c r="F33" s="11" t="s">
        <v>13</v>
      </c>
      <c r="G33" s="12"/>
      <c r="H33" s="12"/>
      <c r="I33" s="12" t="s">
        <v>18</v>
      </c>
      <c r="J33" s="13"/>
      <c r="K33" s="10" t="s">
        <v>15</v>
      </c>
    </row>
    <row r="34" spans="1:11" x14ac:dyDescent="0.25">
      <c r="A34" s="4">
        <v>29</v>
      </c>
      <c r="B34" s="5" t="s">
        <v>11</v>
      </c>
      <c r="C34" s="5"/>
      <c r="D34" s="4">
        <v>264</v>
      </c>
      <c r="E34" s="5" t="s">
        <v>26</v>
      </c>
      <c r="F34" s="6" t="s">
        <v>13</v>
      </c>
      <c r="G34" s="7"/>
      <c r="H34" s="7"/>
      <c r="I34" s="7" t="s">
        <v>14</v>
      </c>
      <c r="J34" s="8"/>
      <c r="K34" s="5" t="s">
        <v>15</v>
      </c>
    </row>
    <row r="35" spans="1:11" x14ac:dyDescent="0.25">
      <c r="A35" s="9">
        <v>29</v>
      </c>
      <c r="B35" s="10" t="s">
        <v>11</v>
      </c>
      <c r="C35" s="10"/>
      <c r="D35" s="9">
        <v>264</v>
      </c>
      <c r="E35" s="10" t="s">
        <v>26</v>
      </c>
      <c r="F35" s="11" t="s">
        <v>13</v>
      </c>
      <c r="G35" s="12"/>
      <c r="H35" s="12"/>
      <c r="I35" s="12" t="s">
        <v>16</v>
      </c>
      <c r="J35" s="13"/>
      <c r="K35" s="10" t="s">
        <v>15</v>
      </c>
    </row>
    <row r="36" spans="1:11" x14ac:dyDescent="0.25">
      <c r="A36" s="4">
        <v>29</v>
      </c>
      <c r="B36" s="5" t="s">
        <v>11</v>
      </c>
      <c r="C36" s="5"/>
      <c r="D36" s="4">
        <v>264</v>
      </c>
      <c r="E36" s="5" t="s">
        <v>26</v>
      </c>
      <c r="F36" s="6" t="s">
        <v>13</v>
      </c>
      <c r="G36" s="7"/>
      <c r="H36" s="7"/>
      <c r="I36" s="7" t="s">
        <v>17</v>
      </c>
      <c r="J36" s="8"/>
      <c r="K36" s="5" t="s">
        <v>15</v>
      </c>
    </row>
    <row r="37" spans="1:11" x14ac:dyDescent="0.25">
      <c r="A37" s="9">
        <v>29</v>
      </c>
      <c r="B37" s="10" t="s">
        <v>11</v>
      </c>
      <c r="C37" s="10"/>
      <c r="D37" s="9">
        <v>264</v>
      </c>
      <c r="E37" s="10" t="s">
        <v>26</v>
      </c>
      <c r="F37" s="11" t="s">
        <v>13</v>
      </c>
      <c r="G37" s="12"/>
      <c r="H37" s="12"/>
      <c r="I37" s="12" t="s">
        <v>18</v>
      </c>
      <c r="J37" s="13"/>
      <c r="K37" s="10" t="s">
        <v>15</v>
      </c>
    </row>
    <row r="38" spans="1:11" x14ac:dyDescent="0.25">
      <c r="A38" s="4">
        <v>29</v>
      </c>
      <c r="B38" s="5" t="s">
        <v>11</v>
      </c>
      <c r="C38" s="5"/>
      <c r="D38" s="4">
        <v>265</v>
      </c>
      <c r="E38" s="5" t="s">
        <v>27</v>
      </c>
      <c r="F38" s="6" t="s">
        <v>13</v>
      </c>
      <c r="G38" s="7"/>
      <c r="H38" s="7"/>
      <c r="I38" s="7" t="s">
        <v>14</v>
      </c>
      <c r="J38" s="8"/>
      <c r="K38" s="5" t="s">
        <v>15</v>
      </c>
    </row>
    <row r="39" spans="1:11" x14ac:dyDescent="0.25">
      <c r="A39" s="9">
        <v>29</v>
      </c>
      <c r="B39" s="10" t="s">
        <v>11</v>
      </c>
      <c r="C39" s="10"/>
      <c r="D39" s="9">
        <v>265</v>
      </c>
      <c r="E39" s="10" t="s">
        <v>27</v>
      </c>
      <c r="F39" s="11" t="s">
        <v>13</v>
      </c>
      <c r="G39" s="12"/>
      <c r="H39" s="12"/>
      <c r="I39" s="12" t="s">
        <v>16</v>
      </c>
      <c r="J39" s="13"/>
      <c r="K39" s="10" t="s">
        <v>15</v>
      </c>
    </row>
    <row r="40" spans="1:11" x14ac:dyDescent="0.25">
      <c r="A40" s="4">
        <v>29</v>
      </c>
      <c r="B40" s="5" t="s">
        <v>11</v>
      </c>
      <c r="C40" s="5"/>
      <c r="D40" s="4">
        <v>265</v>
      </c>
      <c r="E40" s="5" t="s">
        <v>27</v>
      </c>
      <c r="F40" s="6" t="s">
        <v>13</v>
      </c>
      <c r="G40" s="7"/>
      <c r="H40" s="7"/>
      <c r="I40" s="7" t="s">
        <v>17</v>
      </c>
      <c r="J40" s="8"/>
      <c r="K40" s="5" t="s">
        <v>15</v>
      </c>
    </row>
    <row r="41" spans="1:11" x14ac:dyDescent="0.25">
      <c r="A41" s="9">
        <v>29</v>
      </c>
      <c r="B41" s="10" t="s">
        <v>11</v>
      </c>
      <c r="C41" s="10"/>
      <c r="D41" s="9">
        <v>265</v>
      </c>
      <c r="E41" s="10" t="s">
        <v>27</v>
      </c>
      <c r="F41" s="11" t="s">
        <v>13</v>
      </c>
      <c r="G41" s="12"/>
      <c r="H41" s="12"/>
      <c r="I41" s="12" t="s">
        <v>18</v>
      </c>
      <c r="J41" s="13"/>
      <c r="K41" s="10" t="s">
        <v>15</v>
      </c>
    </row>
    <row r="42" spans="1:11" x14ac:dyDescent="0.25">
      <c r="A42" s="4">
        <v>29</v>
      </c>
      <c r="B42" s="5" t="s">
        <v>11</v>
      </c>
      <c r="C42" s="5"/>
      <c r="D42" s="4">
        <v>266</v>
      </c>
      <c r="E42" s="5" t="s">
        <v>28</v>
      </c>
      <c r="F42" s="6" t="s">
        <v>13</v>
      </c>
      <c r="G42" s="7"/>
      <c r="H42" s="7"/>
      <c r="I42" s="7" t="s">
        <v>14</v>
      </c>
      <c r="J42" s="8"/>
      <c r="K42" s="5" t="s">
        <v>15</v>
      </c>
    </row>
    <row r="43" spans="1:11" x14ac:dyDescent="0.25">
      <c r="A43" s="9">
        <v>29</v>
      </c>
      <c r="B43" s="10" t="s">
        <v>11</v>
      </c>
      <c r="C43" s="10"/>
      <c r="D43" s="9">
        <v>266</v>
      </c>
      <c r="E43" s="10" t="s">
        <v>28</v>
      </c>
      <c r="F43" s="11" t="s">
        <v>13</v>
      </c>
      <c r="G43" s="12"/>
      <c r="H43" s="12"/>
      <c r="I43" s="12" t="s">
        <v>16</v>
      </c>
      <c r="J43" s="13"/>
      <c r="K43" s="10" t="s">
        <v>15</v>
      </c>
    </row>
    <row r="44" spans="1:11" x14ac:dyDescent="0.25">
      <c r="A44" s="4">
        <v>29</v>
      </c>
      <c r="B44" s="5" t="s">
        <v>11</v>
      </c>
      <c r="C44" s="5"/>
      <c r="D44" s="4">
        <v>266</v>
      </c>
      <c r="E44" s="5" t="s">
        <v>28</v>
      </c>
      <c r="F44" s="6" t="s">
        <v>13</v>
      </c>
      <c r="G44" s="7"/>
      <c r="H44" s="7"/>
      <c r="I44" s="7" t="s">
        <v>17</v>
      </c>
      <c r="J44" s="8"/>
      <c r="K44" s="5" t="s">
        <v>15</v>
      </c>
    </row>
    <row r="45" spans="1:11" x14ac:dyDescent="0.25">
      <c r="A45" s="9">
        <v>29</v>
      </c>
      <c r="B45" s="10" t="s">
        <v>11</v>
      </c>
      <c r="C45" s="10"/>
      <c r="D45" s="9">
        <v>266</v>
      </c>
      <c r="E45" s="10" t="s">
        <v>28</v>
      </c>
      <c r="F45" s="11" t="s">
        <v>13</v>
      </c>
      <c r="G45" s="12"/>
      <c r="H45" s="12"/>
      <c r="I45" s="12" t="s">
        <v>18</v>
      </c>
      <c r="J45" s="13"/>
      <c r="K45" s="10" t="s">
        <v>15</v>
      </c>
    </row>
    <row r="46" spans="1:11" x14ac:dyDescent="0.25">
      <c r="A46" s="4">
        <v>29</v>
      </c>
      <c r="B46" s="5" t="s">
        <v>11</v>
      </c>
      <c r="C46" s="5"/>
      <c r="D46" s="4">
        <v>267</v>
      </c>
      <c r="E46" s="5" t="s">
        <v>29</v>
      </c>
      <c r="F46" s="6" t="s">
        <v>13</v>
      </c>
      <c r="G46" s="7"/>
      <c r="H46" s="7"/>
      <c r="I46" s="7" t="s">
        <v>14</v>
      </c>
      <c r="J46" s="8"/>
      <c r="K46" s="5" t="s">
        <v>15</v>
      </c>
    </row>
    <row r="47" spans="1:11" x14ac:dyDescent="0.25">
      <c r="A47" s="9">
        <v>29</v>
      </c>
      <c r="B47" s="10" t="s">
        <v>11</v>
      </c>
      <c r="C47" s="10"/>
      <c r="D47" s="9">
        <v>267</v>
      </c>
      <c r="E47" s="10" t="s">
        <v>29</v>
      </c>
      <c r="F47" s="11" t="s">
        <v>13</v>
      </c>
      <c r="G47" s="12"/>
      <c r="H47" s="12"/>
      <c r="I47" s="12" t="s">
        <v>16</v>
      </c>
      <c r="J47" s="13"/>
      <c r="K47" s="10" t="s">
        <v>15</v>
      </c>
    </row>
    <row r="48" spans="1:11" x14ac:dyDescent="0.25">
      <c r="A48" s="4">
        <v>29</v>
      </c>
      <c r="B48" s="5" t="s">
        <v>11</v>
      </c>
      <c r="C48" s="5"/>
      <c r="D48" s="4">
        <v>267</v>
      </c>
      <c r="E48" s="5" t="s">
        <v>29</v>
      </c>
      <c r="F48" s="6" t="s">
        <v>13</v>
      </c>
      <c r="G48" s="7"/>
      <c r="H48" s="7"/>
      <c r="I48" s="7" t="s">
        <v>17</v>
      </c>
      <c r="J48" s="8"/>
      <c r="K48" s="5" t="s">
        <v>15</v>
      </c>
    </row>
    <row r="49" spans="1:11" x14ac:dyDescent="0.25">
      <c r="A49" s="9">
        <v>29</v>
      </c>
      <c r="B49" s="10" t="s">
        <v>11</v>
      </c>
      <c r="C49" s="10"/>
      <c r="D49" s="9">
        <v>267</v>
      </c>
      <c r="E49" s="10" t="s">
        <v>29</v>
      </c>
      <c r="F49" s="11" t="s">
        <v>13</v>
      </c>
      <c r="G49" s="12"/>
      <c r="H49" s="12"/>
      <c r="I49" s="12" t="s">
        <v>18</v>
      </c>
      <c r="J49" s="13"/>
      <c r="K49" s="10" t="s">
        <v>15</v>
      </c>
    </row>
    <row r="50" spans="1:11" x14ac:dyDescent="0.25">
      <c r="A50" s="4">
        <v>29</v>
      </c>
      <c r="B50" s="5" t="s">
        <v>11</v>
      </c>
      <c r="C50" s="5"/>
      <c r="D50" s="4">
        <v>268</v>
      </c>
      <c r="E50" s="5" t="s">
        <v>30</v>
      </c>
      <c r="F50" s="6" t="s">
        <v>13</v>
      </c>
      <c r="G50" s="7"/>
      <c r="H50" s="7"/>
      <c r="I50" s="7" t="s">
        <v>14</v>
      </c>
      <c r="J50" s="8"/>
      <c r="K50" s="5" t="s">
        <v>15</v>
      </c>
    </row>
    <row r="51" spans="1:11" x14ac:dyDescent="0.25">
      <c r="A51" s="9">
        <v>29</v>
      </c>
      <c r="B51" s="10" t="s">
        <v>11</v>
      </c>
      <c r="C51" s="10"/>
      <c r="D51" s="9">
        <v>268</v>
      </c>
      <c r="E51" s="10" t="s">
        <v>30</v>
      </c>
      <c r="F51" s="11" t="s">
        <v>13</v>
      </c>
      <c r="G51" s="12"/>
      <c r="H51" s="12"/>
      <c r="I51" s="12" t="s">
        <v>16</v>
      </c>
      <c r="J51" s="13"/>
      <c r="K51" s="10" t="s">
        <v>15</v>
      </c>
    </row>
    <row r="52" spans="1:11" x14ac:dyDescent="0.25">
      <c r="A52" s="4">
        <v>29</v>
      </c>
      <c r="B52" s="5" t="s">
        <v>11</v>
      </c>
      <c r="C52" s="5"/>
      <c r="D52" s="4">
        <v>268</v>
      </c>
      <c r="E52" s="5" t="s">
        <v>30</v>
      </c>
      <c r="F52" s="6" t="s">
        <v>13</v>
      </c>
      <c r="G52" s="7"/>
      <c r="H52" s="7"/>
      <c r="I52" s="7" t="s">
        <v>17</v>
      </c>
      <c r="J52" s="8"/>
      <c r="K52" s="5" t="s">
        <v>15</v>
      </c>
    </row>
    <row r="53" spans="1:11" x14ac:dyDescent="0.25">
      <c r="A53" s="9">
        <v>29</v>
      </c>
      <c r="B53" s="10" t="s">
        <v>11</v>
      </c>
      <c r="C53" s="10"/>
      <c r="D53" s="9">
        <v>268</v>
      </c>
      <c r="E53" s="10" t="s">
        <v>30</v>
      </c>
      <c r="F53" s="11" t="s">
        <v>13</v>
      </c>
      <c r="G53" s="12"/>
      <c r="H53" s="12"/>
      <c r="I53" s="12" t="s">
        <v>18</v>
      </c>
      <c r="J53" s="13"/>
      <c r="K53" s="10" t="s">
        <v>15</v>
      </c>
    </row>
    <row r="54" spans="1:11" x14ac:dyDescent="0.25">
      <c r="A54" s="4">
        <v>29</v>
      </c>
      <c r="B54" s="5" t="s">
        <v>11</v>
      </c>
      <c r="C54" s="5"/>
      <c r="D54" s="4">
        <v>269</v>
      </c>
      <c r="E54" s="5" t="s">
        <v>31</v>
      </c>
      <c r="F54" s="6" t="s">
        <v>13</v>
      </c>
      <c r="G54" s="7"/>
      <c r="H54" s="7"/>
      <c r="I54" s="7" t="s">
        <v>14</v>
      </c>
      <c r="J54" s="8"/>
      <c r="K54" s="5" t="s">
        <v>15</v>
      </c>
    </row>
    <row r="55" spans="1:11" x14ac:dyDescent="0.25">
      <c r="A55" s="9">
        <v>29</v>
      </c>
      <c r="B55" s="10" t="s">
        <v>11</v>
      </c>
      <c r="C55" s="10"/>
      <c r="D55" s="9">
        <v>269</v>
      </c>
      <c r="E55" s="10" t="s">
        <v>31</v>
      </c>
      <c r="F55" s="11" t="s">
        <v>13</v>
      </c>
      <c r="G55" s="12"/>
      <c r="H55" s="12"/>
      <c r="I55" s="12" t="s">
        <v>16</v>
      </c>
      <c r="J55" s="13"/>
      <c r="K55" s="10" t="s">
        <v>15</v>
      </c>
    </row>
    <row r="56" spans="1:11" x14ac:dyDescent="0.25">
      <c r="A56" s="4">
        <v>29</v>
      </c>
      <c r="B56" s="5" t="s">
        <v>11</v>
      </c>
      <c r="C56" s="5"/>
      <c r="D56" s="4">
        <v>269</v>
      </c>
      <c r="E56" s="5" t="s">
        <v>31</v>
      </c>
      <c r="F56" s="6" t="s">
        <v>13</v>
      </c>
      <c r="G56" s="7"/>
      <c r="H56" s="7"/>
      <c r="I56" s="7" t="s">
        <v>17</v>
      </c>
      <c r="J56" s="8"/>
      <c r="K56" s="5" t="s">
        <v>15</v>
      </c>
    </row>
    <row r="57" spans="1:11" x14ac:dyDescent="0.25">
      <c r="A57" s="9">
        <v>29</v>
      </c>
      <c r="B57" s="10" t="s">
        <v>11</v>
      </c>
      <c r="C57" s="10"/>
      <c r="D57" s="9">
        <v>269</v>
      </c>
      <c r="E57" s="10" t="s">
        <v>31</v>
      </c>
      <c r="F57" s="11" t="s">
        <v>13</v>
      </c>
      <c r="G57" s="12"/>
      <c r="H57" s="12"/>
      <c r="I57" s="12" t="s">
        <v>18</v>
      </c>
      <c r="J57" s="13"/>
      <c r="K57" s="10" t="s">
        <v>15</v>
      </c>
    </row>
    <row r="58" spans="1:11" x14ac:dyDescent="0.25">
      <c r="A58" s="4">
        <v>29</v>
      </c>
      <c r="B58" s="5" t="s">
        <v>11</v>
      </c>
      <c r="C58" s="5"/>
      <c r="D58" s="4">
        <v>270</v>
      </c>
      <c r="E58" s="5" t="s">
        <v>32</v>
      </c>
      <c r="F58" s="6" t="s">
        <v>13</v>
      </c>
      <c r="G58" s="7"/>
      <c r="H58" s="7" t="s">
        <v>33</v>
      </c>
      <c r="I58" s="7" t="s">
        <v>14</v>
      </c>
      <c r="J58" s="8"/>
      <c r="K58" s="5" t="s">
        <v>15</v>
      </c>
    </row>
    <row r="59" spans="1:11" x14ac:dyDescent="0.25">
      <c r="A59" s="9">
        <v>29</v>
      </c>
      <c r="B59" s="10" t="s">
        <v>11</v>
      </c>
      <c r="C59" s="10"/>
      <c r="D59" s="9">
        <v>270</v>
      </c>
      <c r="E59" s="10" t="s">
        <v>32</v>
      </c>
      <c r="F59" s="11" t="s">
        <v>13</v>
      </c>
      <c r="G59" s="12"/>
      <c r="H59" s="12" t="s">
        <v>34</v>
      </c>
      <c r="I59" s="12" t="s">
        <v>16</v>
      </c>
      <c r="J59" s="13"/>
      <c r="K59" s="10" t="s">
        <v>15</v>
      </c>
    </row>
    <row r="60" spans="1:11" x14ac:dyDescent="0.25">
      <c r="A60" s="4">
        <v>29</v>
      </c>
      <c r="B60" s="5" t="s">
        <v>11</v>
      </c>
      <c r="C60" s="5"/>
      <c r="D60" s="4">
        <v>270</v>
      </c>
      <c r="E60" s="5" t="s">
        <v>32</v>
      </c>
      <c r="F60" s="6" t="s">
        <v>13</v>
      </c>
      <c r="G60" s="7"/>
      <c r="H60" s="7" t="s">
        <v>35</v>
      </c>
      <c r="I60" s="7" t="s">
        <v>17</v>
      </c>
      <c r="J60" s="8"/>
      <c r="K60" s="5" t="s">
        <v>15</v>
      </c>
    </row>
    <row r="61" spans="1:11" x14ac:dyDescent="0.25">
      <c r="A61" s="9">
        <v>29</v>
      </c>
      <c r="B61" s="10" t="s">
        <v>11</v>
      </c>
      <c r="C61" s="10"/>
      <c r="D61" s="9">
        <v>270</v>
      </c>
      <c r="E61" s="10" t="s">
        <v>32</v>
      </c>
      <c r="F61" s="11" t="s">
        <v>13</v>
      </c>
      <c r="G61" s="12"/>
      <c r="H61" s="12" t="s">
        <v>36</v>
      </c>
      <c r="I61" s="12" t="s">
        <v>18</v>
      </c>
      <c r="J61" s="13"/>
      <c r="K61" s="10" t="s">
        <v>15</v>
      </c>
    </row>
    <row r="62" spans="1:11" x14ac:dyDescent="0.25">
      <c r="A62" s="4">
        <v>29</v>
      </c>
      <c r="B62" s="5" t="s">
        <v>11</v>
      </c>
      <c r="C62" s="5"/>
      <c r="D62" s="4">
        <v>271</v>
      </c>
      <c r="E62" s="5" t="s">
        <v>37</v>
      </c>
      <c r="F62" s="6" t="s">
        <v>13</v>
      </c>
      <c r="G62" s="7"/>
      <c r="H62" s="7"/>
      <c r="I62" s="7" t="s">
        <v>14</v>
      </c>
      <c r="J62" s="8"/>
      <c r="K62" s="5" t="s">
        <v>15</v>
      </c>
    </row>
    <row r="63" spans="1:11" x14ac:dyDescent="0.25">
      <c r="A63" s="9">
        <v>29</v>
      </c>
      <c r="B63" s="10" t="s">
        <v>11</v>
      </c>
      <c r="C63" s="10"/>
      <c r="D63" s="9">
        <v>271</v>
      </c>
      <c r="E63" s="10" t="s">
        <v>37</v>
      </c>
      <c r="F63" s="11" t="s">
        <v>13</v>
      </c>
      <c r="G63" s="12"/>
      <c r="H63" s="12"/>
      <c r="I63" s="12" t="s">
        <v>16</v>
      </c>
      <c r="J63" s="13"/>
      <c r="K63" s="10" t="s">
        <v>15</v>
      </c>
    </row>
    <row r="64" spans="1:11" x14ac:dyDescent="0.25">
      <c r="A64" s="4">
        <v>29</v>
      </c>
      <c r="B64" s="5" t="s">
        <v>11</v>
      </c>
      <c r="C64" s="5"/>
      <c r="D64" s="4">
        <v>271</v>
      </c>
      <c r="E64" s="5" t="s">
        <v>37</v>
      </c>
      <c r="F64" s="6" t="s">
        <v>13</v>
      </c>
      <c r="G64" s="7"/>
      <c r="H64" s="7"/>
      <c r="I64" s="7" t="s">
        <v>17</v>
      </c>
      <c r="J64" s="8"/>
      <c r="K64" s="5" t="s">
        <v>15</v>
      </c>
    </row>
    <row r="65" spans="1:11" x14ac:dyDescent="0.25">
      <c r="A65" s="9">
        <v>29</v>
      </c>
      <c r="B65" s="10" t="s">
        <v>11</v>
      </c>
      <c r="C65" s="10"/>
      <c r="D65" s="9">
        <v>271</v>
      </c>
      <c r="E65" s="10" t="s">
        <v>37</v>
      </c>
      <c r="F65" s="11" t="s">
        <v>13</v>
      </c>
      <c r="G65" s="12"/>
      <c r="H65" s="12"/>
      <c r="I65" s="12" t="s">
        <v>18</v>
      </c>
      <c r="J65" s="13"/>
      <c r="K65" s="10" t="s">
        <v>15</v>
      </c>
    </row>
    <row r="66" spans="1:11" x14ac:dyDescent="0.25">
      <c r="A66" s="4">
        <v>29</v>
      </c>
      <c r="B66" s="5" t="s">
        <v>11</v>
      </c>
      <c r="C66" s="5"/>
      <c r="D66" s="4">
        <v>270</v>
      </c>
      <c r="E66" s="5" t="s">
        <v>32</v>
      </c>
      <c r="F66" s="6" t="s">
        <v>13</v>
      </c>
      <c r="G66" s="7"/>
      <c r="H66" s="7" t="s">
        <v>38</v>
      </c>
      <c r="I66" s="7" t="s">
        <v>14</v>
      </c>
      <c r="J66" s="8"/>
      <c r="K66" s="5" t="s">
        <v>15</v>
      </c>
    </row>
    <row r="67" spans="1:11" x14ac:dyDescent="0.25">
      <c r="A67" s="9">
        <v>29</v>
      </c>
      <c r="B67" s="10" t="s">
        <v>11</v>
      </c>
      <c r="C67" s="10"/>
      <c r="D67" s="9">
        <v>270</v>
      </c>
      <c r="E67" s="10" t="s">
        <v>32</v>
      </c>
      <c r="F67" s="11" t="s">
        <v>13</v>
      </c>
      <c r="G67" s="12"/>
      <c r="H67" s="12" t="s">
        <v>39</v>
      </c>
      <c r="I67" s="12" t="s">
        <v>16</v>
      </c>
      <c r="J67" s="13"/>
      <c r="K67" s="10" t="s">
        <v>15</v>
      </c>
    </row>
    <row r="68" spans="1:11" x14ac:dyDescent="0.25">
      <c r="A68" s="4">
        <v>29</v>
      </c>
      <c r="B68" s="5" t="s">
        <v>11</v>
      </c>
      <c r="C68" s="5"/>
      <c r="D68" s="4">
        <v>270</v>
      </c>
      <c r="E68" s="5" t="s">
        <v>32</v>
      </c>
      <c r="F68" s="6" t="s">
        <v>13</v>
      </c>
      <c r="G68" s="7"/>
      <c r="H68" s="7" t="s">
        <v>40</v>
      </c>
      <c r="I68" s="7" t="s">
        <v>17</v>
      </c>
      <c r="J68" s="8"/>
      <c r="K68" s="5" t="s">
        <v>15</v>
      </c>
    </row>
    <row r="69" spans="1:11" x14ac:dyDescent="0.25">
      <c r="A69" s="9">
        <v>29</v>
      </c>
      <c r="B69" s="10" t="s">
        <v>11</v>
      </c>
      <c r="C69" s="10"/>
      <c r="D69" s="9">
        <v>270</v>
      </c>
      <c r="E69" s="10" t="s">
        <v>32</v>
      </c>
      <c r="F69" s="11" t="s">
        <v>13</v>
      </c>
      <c r="G69" s="12"/>
      <c r="H69" s="12" t="s">
        <v>41</v>
      </c>
      <c r="I69" s="12" t="s">
        <v>18</v>
      </c>
      <c r="J69" s="13"/>
      <c r="K69" s="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D7" sqref="D7"/>
    </sheetView>
  </sheetViews>
  <sheetFormatPr baseColWidth="10" defaultRowHeight="15" x14ac:dyDescent="0.25"/>
  <cols>
    <col min="1" max="1" width="41.28515625" bestFit="1" customWidth="1"/>
    <col min="2" max="2" width="7.85546875" bestFit="1" customWidth="1"/>
    <col min="3" max="3" width="28.28515625" bestFit="1" customWidth="1"/>
    <col min="4" max="4" width="26.5703125" bestFit="1" customWidth="1"/>
    <col min="5" max="5" width="9.85546875" bestFit="1" customWidth="1"/>
    <col min="6" max="6" width="7.7109375" bestFit="1" customWidth="1"/>
  </cols>
  <sheetData>
    <row r="1" spans="1:6" x14ac:dyDescent="0.25">
      <c r="A1" s="14"/>
      <c r="B1" s="14"/>
      <c r="C1" s="14"/>
      <c r="D1" s="14"/>
      <c r="E1" s="14"/>
      <c r="F1" s="14"/>
    </row>
    <row r="2" spans="1:6" x14ac:dyDescent="0.25">
      <c r="A2" s="15" t="s">
        <v>42</v>
      </c>
      <c r="B2" s="15"/>
      <c r="C2" s="15"/>
      <c r="D2" s="15"/>
      <c r="E2" s="15"/>
      <c r="F2" s="15"/>
    </row>
    <row r="3" spans="1:6" x14ac:dyDescent="0.25">
      <c r="A3" s="14"/>
      <c r="B3" s="14"/>
      <c r="C3" s="14"/>
      <c r="D3" s="14"/>
      <c r="E3" s="14"/>
      <c r="F3" s="14"/>
    </row>
    <row r="4" spans="1:6" x14ac:dyDescent="0.25">
      <c r="A4" s="16" t="s">
        <v>43</v>
      </c>
      <c r="B4" s="16"/>
      <c r="C4" s="16"/>
      <c r="D4" s="16"/>
      <c r="E4" s="16"/>
      <c r="F4" s="16"/>
    </row>
    <row r="5" spans="1:6" x14ac:dyDescent="0.25">
      <c r="A5" s="17"/>
      <c r="B5" s="18"/>
      <c r="C5" s="17"/>
      <c r="D5" s="17"/>
      <c r="E5" s="19"/>
      <c r="F5" s="19"/>
    </row>
    <row r="6" spans="1:6" x14ac:dyDescent="0.25">
      <c r="A6" s="17" t="s">
        <v>44</v>
      </c>
      <c r="B6" s="18"/>
      <c r="C6" s="17"/>
      <c r="D6" s="20" t="s">
        <v>45</v>
      </c>
      <c r="E6" s="21"/>
      <c r="F6" s="22" t="s">
        <v>46</v>
      </c>
    </row>
    <row r="7" spans="1:6" x14ac:dyDescent="0.25">
      <c r="A7" s="17"/>
      <c r="B7" s="18"/>
      <c r="C7" s="17"/>
      <c r="D7" s="17"/>
      <c r="E7" s="23"/>
      <c r="F7" s="23"/>
    </row>
    <row r="8" spans="1:6" x14ac:dyDescent="0.25">
      <c r="A8" s="24" t="s">
        <v>47</v>
      </c>
      <c r="B8" s="24"/>
      <c r="C8" s="24"/>
      <c r="D8" s="24"/>
      <c r="E8" s="24"/>
      <c r="F8" s="24"/>
    </row>
    <row r="9" spans="1:6" x14ac:dyDescent="0.25">
      <c r="A9" s="17" t="s">
        <v>48</v>
      </c>
      <c r="B9" s="18"/>
      <c r="C9" s="17"/>
      <c r="D9" s="17"/>
      <c r="E9" s="23"/>
      <c r="F9" s="23"/>
    </row>
    <row r="10" spans="1:6" x14ac:dyDescent="0.25">
      <c r="A10" s="25" t="s">
        <v>49</v>
      </c>
      <c r="B10" s="25"/>
      <c r="C10" s="25"/>
      <c r="D10" s="25"/>
      <c r="E10" s="26" t="s">
        <v>50</v>
      </c>
      <c r="F10" s="27" t="s">
        <v>51</v>
      </c>
    </row>
    <row r="11" spans="1:6" x14ac:dyDescent="0.25">
      <c r="A11" s="25"/>
      <c r="B11" s="25"/>
      <c r="C11" s="25"/>
      <c r="D11" s="25"/>
      <c r="E11" s="28"/>
      <c r="F11" s="28"/>
    </row>
    <row r="12" spans="1:6" ht="15.75" thickBot="1" x14ac:dyDescent="0.3">
      <c r="A12" s="29" t="s">
        <v>52</v>
      </c>
      <c r="B12" s="30"/>
      <c r="C12" s="31"/>
      <c r="D12" s="31"/>
      <c r="E12" s="30"/>
      <c r="F12" s="31"/>
    </row>
    <row r="13" spans="1:6" ht="15.75" thickBot="1" x14ac:dyDescent="0.3">
      <c r="A13" s="32" t="s">
        <v>14</v>
      </c>
      <c r="B13" s="33"/>
      <c r="C13" s="33"/>
      <c r="D13" s="33"/>
      <c r="E13" s="33"/>
      <c r="F13" s="34"/>
    </row>
    <row r="14" spans="1:6" ht="15.75" thickBot="1" x14ac:dyDescent="0.3">
      <c r="A14" s="35" t="s">
        <v>53</v>
      </c>
      <c r="B14" s="36" t="s">
        <v>54</v>
      </c>
      <c r="C14" s="37" t="s">
        <v>55</v>
      </c>
      <c r="D14" s="37" t="s">
        <v>56</v>
      </c>
      <c r="E14" s="36" t="s">
        <v>57</v>
      </c>
      <c r="F14" s="38" t="s">
        <v>58</v>
      </c>
    </row>
    <row r="15" spans="1:6" x14ac:dyDescent="0.25">
      <c r="A15" s="39" t="s">
        <v>59</v>
      </c>
      <c r="B15" s="40">
        <v>1</v>
      </c>
      <c r="C15" s="41">
        <v>0.4</v>
      </c>
      <c r="D15" s="41">
        <f>IF(C15&gt;0,ROUND(B15*C15,2),"")</f>
        <v>0.4</v>
      </c>
      <c r="E15" s="42">
        <v>0.105</v>
      </c>
      <c r="F15" s="43">
        <v>0.04</v>
      </c>
    </row>
    <row r="16" spans="1:6" x14ac:dyDescent="0.25">
      <c r="A16" s="39" t="s">
        <v>60</v>
      </c>
      <c r="B16" s="40">
        <v>1</v>
      </c>
      <c r="C16" s="41">
        <v>2</v>
      </c>
      <c r="D16" s="41">
        <f>IF(C16&gt;0,ROUND(B16*C16,2),"")</f>
        <v>2</v>
      </c>
      <c r="E16" s="42">
        <v>0.105</v>
      </c>
      <c r="F16" s="43">
        <v>0.21</v>
      </c>
    </row>
    <row r="17" spans="1:6" ht="15.75" thickBot="1" x14ac:dyDescent="0.3">
      <c r="A17" s="44" t="s">
        <v>61</v>
      </c>
      <c r="B17" s="45"/>
      <c r="C17" s="45"/>
      <c r="D17" s="45"/>
      <c r="E17" s="46"/>
      <c r="F17" s="47">
        <v>0.25</v>
      </c>
    </row>
    <row r="18" spans="1:6" ht="15.75" thickBot="1" x14ac:dyDescent="0.3">
      <c r="A18" s="48"/>
      <c r="B18" s="49"/>
      <c r="C18" s="49"/>
      <c r="D18" s="49"/>
      <c r="E18" s="49"/>
      <c r="F18" s="50"/>
    </row>
    <row r="19" spans="1:6" ht="15.75" thickBot="1" x14ac:dyDescent="0.3">
      <c r="A19" s="32" t="s">
        <v>16</v>
      </c>
      <c r="B19" s="33"/>
      <c r="C19" s="33"/>
      <c r="D19" s="33"/>
      <c r="E19" s="33"/>
      <c r="F19" s="34"/>
    </row>
    <row r="20" spans="1:6" ht="15.75" thickBot="1" x14ac:dyDescent="0.3">
      <c r="A20" s="51" t="s">
        <v>53</v>
      </c>
      <c r="B20" s="52" t="s">
        <v>54</v>
      </c>
      <c r="C20" s="52" t="s">
        <v>62</v>
      </c>
      <c r="D20" s="52" t="s">
        <v>56</v>
      </c>
      <c r="E20" s="52" t="s">
        <v>57</v>
      </c>
      <c r="F20" s="53" t="s">
        <v>58</v>
      </c>
    </row>
    <row r="21" spans="1:6" x14ac:dyDescent="0.25">
      <c r="A21" s="54" t="s">
        <v>63</v>
      </c>
      <c r="B21" s="55">
        <v>1</v>
      </c>
      <c r="C21" s="56">
        <v>2.56</v>
      </c>
      <c r="D21" s="57">
        <f>ROUND(B21*C21,2)</f>
        <v>2.56</v>
      </c>
      <c r="E21" s="55">
        <v>0.105</v>
      </c>
      <c r="F21" s="58">
        <v>0.27</v>
      </c>
    </row>
    <row r="22" spans="1:6" ht="22.5" x14ac:dyDescent="0.25">
      <c r="A22" s="59" t="s">
        <v>64</v>
      </c>
      <c r="B22" s="60">
        <v>1</v>
      </c>
      <c r="C22" s="61">
        <v>2.71</v>
      </c>
      <c r="D22" s="57">
        <f>ROUND(B22*C22,2)</f>
        <v>2.71</v>
      </c>
      <c r="E22" s="60">
        <v>1.0500000000000001E-2</v>
      </c>
      <c r="F22" s="62">
        <v>0.03</v>
      </c>
    </row>
    <row r="23" spans="1:6" ht="45" x14ac:dyDescent="0.25">
      <c r="A23" s="59" t="s">
        <v>65</v>
      </c>
      <c r="B23" s="60">
        <v>1</v>
      </c>
      <c r="C23" s="61">
        <v>2.71</v>
      </c>
      <c r="D23" s="57">
        <f>ROUND(B23*C23,2)</f>
        <v>2.71</v>
      </c>
      <c r="E23" s="60">
        <v>0.105</v>
      </c>
      <c r="F23" s="62">
        <v>0.28000000000000003</v>
      </c>
    </row>
    <row r="24" spans="1:6" ht="15.75" thickBot="1" x14ac:dyDescent="0.3">
      <c r="A24" s="44" t="s">
        <v>66</v>
      </c>
      <c r="B24" s="45"/>
      <c r="C24" s="45"/>
      <c r="D24" s="45"/>
      <c r="E24" s="46"/>
      <c r="F24" s="47">
        <v>0.58000000000000007</v>
      </c>
    </row>
    <row r="25" spans="1:6" ht="15.75" thickBot="1" x14ac:dyDescent="0.3">
      <c r="A25" s="32" t="s">
        <v>17</v>
      </c>
      <c r="B25" s="33"/>
      <c r="C25" s="33"/>
      <c r="D25" s="33"/>
      <c r="E25" s="33"/>
      <c r="F25" s="34"/>
    </row>
    <row r="26" spans="1:6" ht="15.75" thickBot="1" x14ac:dyDescent="0.3">
      <c r="A26" s="63" t="s">
        <v>53</v>
      </c>
      <c r="B26" s="64"/>
      <c r="C26" s="65" t="s">
        <v>67</v>
      </c>
      <c r="D26" s="36" t="s">
        <v>54</v>
      </c>
      <c r="E26" s="37" t="s">
        <v>68</v>
      </c>
      <c r="F26" s="38" t="s">
        <v>58</v>
      </c>
    </row>
    <row r="27" spans="1:6" ht="45" x14ac:dyDescent="0.25">
      <c r="A27" s="66" t="s">
        <v>69</v>
      </c>
      <c r="B27" s="67"/>
      <c r="C27" s="68" t="s">
        <v>70</v>
      </c>
      <c r="D27" s="55">
        <v>5.0000000000000001E-3</v>
      </c>
      <c r="E27" s="56">
        <v>1.35</v>
      </c>
      <c r="F27" s="58">
        <v>0.01</v>
      </c>
    </row>
    <row r="28" spans="1:6" ht="45" x14ac:dyDescent="0.25">
      <c r="A28" s="69" t="s">
        <v>71</v>
      </c>
      <c r="B28" s="70"/>
      <c r="C28" s="71" t="s">
        <v>72</v>
      </c>
      <c r="D28" s="61">
        <v>0.06</v>
      </c>
      <c r="E28" s="60">
        <v>0.9</v>
      </c>
      <c r="F28" s="62">
        <v>0.05</v>
      </c>
    </row>
    <row r="29" spans="1:6" ht="15.75" thickBot="1" x14ac:dyDescent="0.3">
      <c r="A29" s="44" t="s">
        <v>73</v>
      </c>
      <c r="B29" s="45"/>
      <c r="C29" s="45"/>
      <c r="D29" s="45"/>
      <c r="E29" s="46"/>
      <c r="F29" s="47">
        <v>6.0000000000000005E-2</v>
      </c>
    </row>
    <row r="30" spans="1:6" ht="15.75" thickBot="1" x14ac:dyDescent="0.3">
      <c r="A30" s="72"/>
      <c r="B30" s="73"/>
      <c r="C30" s="73"/>
      <c r="D30" s="73"/>
      <c r="E30" s="73"/>
      <c r="F30" s="74"/>
    </row>
    <row r="31" spans="1:6" ht="15.75" thickBot="1" x14ac:dyDescent="0.3">
      <c r="A31" s="75" t="s">
        <v>18</v>
      </c>
      <c r="B31" s="76"/>
      <c r="C31" s="76"/>
      <c r="D31" s="76"/>
      <c r="E31" s="76"/>
      <c r="F31" s="77"/>
    </row>
    <row r="32" spans="1:6" ht="15.75" thickBot="1" x14ac:dyDescent="0.3">
      <c r="A32" s="78" t="s">
        <v>53</v>
      </c>
      <c r="B32" s="79"/>
      <c r="C32" s="37" t="s">
        <v>67</v>
      </c>
      <c r="D32" s="52" t="s">
        <v>54</v>
      </c>
      <c r="E32" s="52" t="s">
        <v>55</v>
      </c>
      <c r="F32" s="53" t="s">
        <v>58</v>
      </c>
    </row>
    <row r="33" spans="1:6" x14ac:dyDescent="0.25">
      <c r="A33" s="80"/>
      <c r="B33" s="81"/>
      <c r="C33" s="82"/>
      <c r="D33" s="83"/>
      <c r="E33" s="84"/>
      <c r="F33" s="85"/>
    </row>
    <row r="34" spans="1:6" ht="15.75" thickBot="1" x14ac:dyDescent="0.3">
      <c r="A34" s="44" t="s">
        <v>74</v>
      </c>
      <c r="B34" s="86"/>
      <c r="C34" s="86"/>
      <c r="D34" s="86"/>
      <c r="E34" s="87"/>
      <c r="F34" s="47">
        <v>0</v>
      </c>
    </row>
    <row r="35" spans="1:6" x14ac:dyDescent="0.25">
      <c r="A35" s="88"/>
      <c r="B35" s="30"/>
      <c r="C35" s="89" t="s">
        <v>75</v>
      </c>
      <c r="D35" s="90"/>
      <c r="E35" s="91"/>
      <c r="F35" s="92">
        <v>0.89000000000000012</v>
      </c>
    </row>
    <row r="36" spans="1:6" x14ac:dyDescent="0.25">
      <c r="A36" s="93"/>
      <c r="B36" s="28"/>
      <c r="C36" s="94" t="s">
        <v>76</v>
      </c>
      <c r="D36" s="95"/>
      <c r="E36" s="96">
        <v>0.2</v>
      </c>
      <c r="F36" s="85">
        <v>0.18</v>
      </c>
    </row>
    <row r="37" spans="1:6" x14ac:dyDescent="0.25">
      <c r="A37" s="93"/>
      <c r="B37" s="28"/>
      <c r="C37" s="97" t="s">
        <v>77</v>
      </c>
      <c r="D37" s="98"/>
      <c r="E37" s="99"/>
      <c r="F37" s="85"/>
    </row>
    <row r="38" spans="1:6" x14ac:dyDescent="0.25">
      <c r="A38" s="93"/>
      <c r="B38" s="28"/>
      <c r="C38" s="97" t="s">
        <v>78</v>
      </c>
      <c r="D38" s="98"/>
      <c r="E38" s="99"/>
      <c r="F38" s="85">
        <v>1.07</v>
      </c>
    </row>
    <row r="39" spans="1:6" ht="15.75" thickBot="1" x14ac:dyDescent="0.3">
      <c r="A39" s="93" t="s">
        <v>79</v>
      </c>
      <c r="B39" s="28"/>
      <c r="C39" s="100" t="s">
        <v>80</v>
      </c>
      <c r="D39" s="101"/>
      <c r="E39" s="102"/>
      <c r="F39" s="103">
        <f>F38</f>
        <v>1.07</v>
      </c>
    </row>
    <row r="40" spans="1:6" x14ac:dyDescent="0.25">
      <c r="A40" s="93"/>
      <c r="B40" s="28"/>
      <c r="C40" s="28"/>
      <c r="D40" s="28"/>
      <c r="E40" s="28"/>
      <c r="F40" s="28"/>
    </row>
    <row r="41" spans="1:6" x14ac:dyDescent="0.25">
      <c r="A41" s="93" t="s">
        <v>81</v>
      </c>
      <c r="B41" s="28"/>
      <c r="C41" s="28"/>
      <c r="D41" s="28"/>
      <c r="E41" s="28"/>
      <c r="F41" s="28"/>
    </row>
    <row r="42" spans="1:6" x14ac:dyDescent="0.25">
      <c r="A42" s="93"/>
      <c r="B42" s="28"/>
      <c r="C42" s="28"/>
      <c r="D42" s="28"/>
      <c r="E42" s="28"/>
      <c r="F42" s="28"/>
    </row>
    <row r="43" spans="1:6" x14ac:dyDescent="0.25">
      <c r="A43" s="104"/>
      <c r="B43" s="28"/>
      <c r="C43" s="105"/>
      <c r="D43" s="105"/>
      <c r="E43" s="106"/>
      <c r="F43" s="107"/>
    </row>
    <row r="44" spans="1:6" x14ac:dyDescent="0.25">
      <c r="A44" s="93"/>
      <c r="B44" s="28"/>
      <c r="C44" s="28"/>
      <c r="D44" s="108" t="s">
        <v>82</v>
      </c>
      <c r="E44" s="14"/>
      <c r="F44" s="28"/>
    </row>
    <row r="45" spans="1:6" x14ac:dyDescent="0.25">
      <c r="A45" s="14"/>
      <c r="B45" s="14"/>
      <c r="C45" s="14"/>
      <c r="D45" s="109" t="s">
        <v>83</v>
      </c>
      <c r="E45" s="14"/>
      <c r="F45" s="14"/>
    </row>
  </sheetData>
  <mergeCells count="15">
    <mergeCell ref="A31:F31"/>
    <mergeCell ref="A32:B32"/>
    <mergeCell ref="A34:E34"/>
    <mergeCell ref="A17:E17"/>
    <mergeCell ref="A19:F19"/>
    <mergeCell ref="A24:E24"/>
    <mergeCell ref="A25:F25"/>
    <mergeCell ref="A26:B26"/>
    <mergeCell ref="A29:E29"/>
    <mergeCell ref="A2:F2"/>
    <mergeCell ref="A4:F4"/>
    <mergeCell ref="E5:F5"/>
    <mergeCell ref="A8:F8"/>
    <mergeCell ref="A10:D11"/>
    <mergeCell ref="A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zoomScale="30" zoomScaleNormal="30" workbookViewId="0">
      <selection activeCell="G25" sqref="G25"/>
    </sheetView>
  </sheetViews>
  <sheetFormatPr baseColWidth="10" defaultRowHeight="15" x14ac:dyDescent="0.25"/>
  <cols>
    <col min="1" max="1" width="15" bestFit="1" customWidth="1"/>
    <col min="2" max="2" width="95.85546875" bestFit="1" customWidth="1"/>
    <col min="3" max="3" width="97.28515625" bestFit="1" customWidth="1"/>
    <col min="4" max="4" width="16.42578125" bestFit="1" customWidth="1"/>
    <col min="5" max="5" width="93.85546875" bestFit="1" customWidth="1"/>
    <col min="6" max="6" width="16.7109375" bestFit="1" customWidth="1"/>
    <col min="7" max="7" width="59.85546875" bestFit="1" customWidth="1"/>
    <col min="8" max="8" width="38.140625" bestFit="1" customWidth="1"/>
  </cols>
  <sheetData>
    <row r="1" spans="1:9" ht="23.25" x14ac:dyDescent="0.25">
      <c r="A1" s="110"/>
      <c r="B1" s="111" t="s">
        <v>84</v>
      </c>
      <c r="C1" s="111"/>
      <c r="D1" s="111"/>
      <c r="E1" s="111"/>
      <c r="F1" s="111"/>
      <c r="G1" s="111"/>
      <c r="H1" s="111"/>
      <c r="I1" s="112"/>
    </row>
    <row r="2" spans="1:9" ht="23.25" x14ac:dyDescent="0.25">
      <c r="A2" s="110"/>
      <c r="B2" s="113"/>
      <c r="C2" s="110"/>
      <c r="D2" s="114"/>
      <c r="E2" s="115"/>
      <c r="F2" s="115"/>
      <c r="G2" s="115"/>
      <c r="H2" s="115"/>
      <c r="I2" s="115"/>
    </row>
    <row r="3" spans="1:9" ht="23.25" x14ac:dyDescent="0.25">
      <c r="A3" s="110"/>
      <c r="B3" s="111" t="s">
        <v>85</v>
      </c>
      <c r="C3" s="111"/>
      <c r="D3" s="111"/>
      <c r="E3" s="111"/>
      <c r="F3" s="111"/>
      <c r="G3" s="111"/>
      <c r="H3" s="111"/>
      <c r="I3" s="112"/>
    </row>
    <row r="4" spans="1:9" ht="23.25" x14ac:dyDescent="0.25">
      <c r="A4" s="110"/>
      <c r="B4" s="116"/>
      <c r="C4" s="110"/>
      <c r="D4" s="114"/>
      <c r="E4" s="115"/>
      <c r="F4" s="115"/>
      <c r="G4" s="115"/>
      <c r="H4" s="115"/>
      <c r="I4" s="115"/>
    </row>
    <row r="5" spans="1:9" ht="23.25" x14ac:dyDescent="0.25">
      <c r="A5" s="110"/>
      <c r="B5" s="116"/>
      <c r="C5" s="117"/>
      <c r="D5" s="114"/>
      <c r="E5" s="115"/>
      <c r="F5" s="115"/>
      <c r="G5" s="118" t="s">
        <v>86</v>
      </c>
      <c r="H5" s="119" t="str">
        <f>+'[1]SABANA - PLANILLA DE OBRA'!D14</f>
        <v>DICIEMBRE / 2013.</v>
      </c>
      <c r="I5" s="115"/>
    </row>
    <row r="6" spans="1:9" ht="23.25" x14ac:dyDescent="0.25">
      <c r="A6" s="110"/>
      <c r="B6" s="116"/>
      <c r="C6" s="117"/>
      <c r="D6" s="114"/>
      <c r="E6" s="115"/>
      <c r="F6" s="115"/>
      <c r="G6" s="118"/>
      <c r="H6" s="119"/>
      <c r="I6" s="115"/>
    </row>
    <row r="7" spans="1:9" ht="23.25" x14ac:dyDescent="0.35">
      <c r="A7" s="120">
        <v>3</v>
      </c>
      <c r="B7" s="121" t="str">
        <f>VLOOKUP(A7,'[1]RESUMEN DE CANTIDADES DE OBRA'!$B$8:$D$407,2,FALSE)</f>
        <v>EDIFICIO</v>
      </c>
      <c r="C7" s="122"/>
      <c r="D7" s="122"/>
      <c r="E7" s="122"/>
      <c r="F7" s="123"/>
      <c r="G7" s="122"/>
      <c r="H7" s="122"/>
      <c r="I7" s="122"/>
    </row>
    <row r="8" spans="1:9" ht="23.25" x14ac:dyDescent="0.35">
      <c r="A8" s="120"/>
      <c r="B8" s="117"/>
      <c r="C8" s="122"/>
      <c r="D8" s="122"/>
      <c r="E8" s="122"/>
      <c r="F8" s="123"/>
      <c r="G8" s="122"/>
      <c r="H8" s="122"/>
      <c r="I8" s="122"/>
    </row>
    <row r="9" spans="1:9" ht="23.25" x14ac:dyDescent="0.35">
      <c r="A9" s="124">
        <v>3001</v>
      </c>
      <c r="B9" s="125" t="str">
        <f>VLOOKUP(A9,'[1]RESUMEN DE CANTIDADES DE OBRA'!$B$8:$D$407,2,FALSE)</f>
        <v>HORMIGÓN ARMADO</v>
      </c>
      <c r="C9" s="122"/>
      <c r="D9" s="122"/>
      <c r="E9" s="122"/>
      <c r="F9" s="114" t="s">
        <v>87</v>
      </c>
      <c r="G9" s="122"/>
      <c r="H9" s="122"/>
      <c r="I9" s="122"/>
    </row>
    <row r="10" spans="1:9" ht="23.25" x14ac:dyDescent="0.35">
      <c r="A10" s="126"/>
      <c r="B10" s="127"/>
      <c r="C10" s="122"/>
      <c r="D10" s="122"/>
      <c r="E10" s="122"/>
      <c r="F10" s="123"/>
      <c r="G10" s="122"/>
      <c r="H10" s="122"/>
      <c r="I10" s="122"/>
    </row>
    <row r="11" spans="1:9" ht="23.25" x14ac:dyDescent="0.35">
      <c r="A11" s="126">
        <v>3001002</v>
      </c>
      <c r="B11" s="125" t="str">
        <f>VLOOKUP(A11,'[1]RESUMEN DE CANTIDADES DE OBRA'!$B$8:$D$407,2,FALSE)</f>
        <v>HORMIGON SIMPLE f´c=240kg/cm2. PREMEZCLADO Y BOMBEADO</v>
      </c>
      <c r="C11" s="122"/>
      <c r="D11" s="122"/>
      <c r="E11" s="122"/>
      <c r="F11" s="122"/>
      <c r="G11" s="128" t="str">
        <f>VLOOKUP(A11,'[1]RESUMEN DE CANTIDADES DE OBRA'!$B$8:$D$407,3,FALSE)</f>
        <v>m3</v>
      </c>
      <c r="H11" s="122"/>
      <c r="I11" s="122"/>
    </row>
    <row r="12" spans="1:9" ht="23.25" x14ac:dyDescent="0.35">
      <c r="A12" s="129"/>
      <c r="B12" s="130"/>
      <c r="C12" s="122"/>
      <c r="D12" s="122"/>
      <c r="E12" s="122"/>
      <c r="F12" s="123"/>
      <c r="G12" s="122"/>
      <c r="H12" s="122"/>
      <c r="I12" s="122"/>
    </row>
    <row r="13" spans="1:9" ht="23.25" x14ac:dyDescent="0.35">
      <c r="A13" s="129"/>
      <c r="B13" s="131" t="s">
        <v>88</v>
      </c>
      <c r="C13" s="122"/>
      <c r="D13" s="122"/>
      <c r="E13" s="122"/>
      <c r="F13" s="123"/>
      <c r="G13" s="122"/>
      <c r="H13" s="122"/>
      <c r="I13" s="122"/>
    </row>
    <row r="14" spans="1:9" ht="24" thickBot="1" x14ac:dyDescent="0.4">
      <c r="A14" s="126"/>
      <c r="B14" s="131"/>
      <c r="C14" s="132"/>
      <c r="D14" s="132"/>
      <c r="E14" s="132"/>
      <c r="F14" s="132"/>
      <c r="G14" s="133"/>
      <c r="H14" s="132"/>
      <c r="I14" s="132"/>
    </row>
    <row r="15" spans="1:9" ht="23.25" x14ac:dyDescent="0.35">
      <c r="A15" s="134">
        <v>1</v>
      </c>
      <c r="B15" s="135" t="s">
        <v>89</v>
      </c>
      <c r="C15" s="136" t="s">
        <v>90</v>
      </c>
      <c r="D15" s="136" t="s">
        <v>91</v>
      </c>
      <c r="E15" s="136" t="s">
        <v>92</v>
      </c>
      <c r="F15" s="136" t="s">
        <v>93</v>
      </c>
      <c r="G15" s="137" t="s">
        <v>94</v>
      </c>
      <c r="H15" s="138"/>
      <c r="I15" s="122"/>
    </row>
    <row r="16" spans="1:9" ht="24" thickBot="1" x14ac:dyDescent="0.4">
      <c r="A16" s="134"/>
      <c r="B16" s="139" t="s">
        <v>95</v>
      </c>
      <c r="C16" s="140" t="s">
        <v>95</v>
      </c>
      <c r="D16" s="140" t="s">
        <v>95</v>
      </c>
      <c r="E16" s="140" t="s">
        <v>95</v>
      </c>
      <c r="F16" s="140" t="s">
        <v>96</v>
      </c>
      <c r="G16" s="141"/>
      <c r="H16" s="142"/>
      <c r="I16" s="122"/>
    </row>
    <row r="17" spans="1:9" ht="23.25" x14ac:dyDescent="0.35">
      <c r="A17" s="134"/>
      <c r="B17" s="143">
        <v>4.2</v>
      </c>
      <c r="C17" s="143">
        <v>0.2</v>
      </c>
      <c r="D17" s="143">
        <v>2.63</v>
      </c>
      <c r="E17" s="144">
        <v>1</v>
      </c>
      <c r="F17" s="143">
        <f>+ROUND((B17*C17*D17*E17),2)</f>
        <v>2.21</v>
      </c>
      <c r="G17" s="122"/>
      <c r="H17" s="145"/>
      <c r="I17" s="122"/>
    </row>
    <row r="18" spans="1:9" ht="23.25" x14ac:dyDescent="0.35">
      <c r="A18" s="134"/>
      <c r="B18" s="146"/>
      <c r="C18" s="146"/>
      <c r="D18" s="146"/>
      <c r="E18" s="147"/>
      <c r="F18" s="143">
        <f>+F17</f>
        <v>2.21</v>
      </c>
      <c r="G18" s="148" t="str">
        <f>+B13</f>
        <v>MURO DE GRADA 20,16 / 23,04</v>
      </c>
      <c r="H18" s="149"/>
      <c r="I18" s="150"/>
    </row>
    <row r="19" spans="1:9" ht="23.25" x14ac:dyDescent="0.35">
      <c r="A19" s="134"/>
      <c r="B19" s="146"/>
      <c r="C19" s="146"/>
      <c r="D19" s="146"/>
      <c r="E19" s="147"/>
      <c r="F19" s="151"/>
      <c r="G19" s="148"/>
      <c r="H19" s="149"/>
      <c r="I19" s="150"/>
    </row>
    <row r="20" spans="1:9" ht="23.25" x14ac:dyDescent="0.35">
      <c r="A20" s="134"/>
      <c r="B20" s="152"/>
      <c r="C20" s="146"/>
      <c r="D20" s="146"/>
      <c r="E20" s="147"/>
      <c r="F20" s="146"/>
      <c r="G20" s="150"/>
      <c r="H20" s="150"/>
      <c r="I20" s="150"/>
    </row>
    <row r="21" spans="1:9" ht="23.25" x14ac:dyDescent="0.35">
      <c r="A21" s="134"/>
      <c r="B21" s="152" t="s">
        <v>97</v>
      </c>
      <c r="C21" s="146"/>
      <c r="D21" s="146"/>
      <c r="E21" s="147"/>
      <c r="F21" s="146"/>
      <c r="G21" s="150"/>
      <c r="H21" s="150"/>
      <c r="I21" s="150"/>
    </row>
    <row r="22" spans="1:9" ht="24" thickBot="1" x14ac:dyDescent="0.4">
      <c r="A22" s="134"/>
      <c r="B22" s="131" t="s">
        <v>98</v>
      </c>
      <c r="C22" s="146"/>
      <c r="D22" s="146"/>
      <c r="E22" s="147"/>
      <c r="F22" s="146"/>
      <c r="G22" s="150"/>
      <c r="H22" s="150"/>
      <c r="I22" s="150"/>
    </row>
    <row r="23" spans="1:9" ht="21" x14ac:dyDescent="0.35">
      <c r="A23" s="153">
        <v>2</v>
      </c>
      <c r="B23" s="154" t="s">
        <v>89</v>
      </c>
      <c r="C23" s="155" t="s">
        <v>90</v>
      </c>
      <c r="D23" s="155" t="s">
        <v>92</v>
      </c>
      <c r="E23" s="155" t="s">
        <v>99</v>
      </c>
      <c r="F23" s="155" t="s">
        <v>100</v>
      </c>
      <c r="G23" s="155" t="s">
        <v>93</v>
      </c>
      <c r="H23" s="156" t="s">
        <v>94</v>
      </c>
      <c r="I23" s="157"/>
    </row>
    <row r="24" spans="1:9" ht="21.75" thickBot="1" x14ac:dyDescent="0.4">
      <c r="A24" s="158"/>
      <c r="B24" s="159" t="s">
        <v>95</v>
      </c>
      <c r="C24" s="160" t="s">
        <v>95</v>
      </c>
      <c r="D24" s="160" t="s">
        <v>101</v>
      </c>
      <c r="E24" s="160" t="s">
        <v>51</v>
      </c>
      <c r="F24" s="160" t="s">
        <v>95</v>
      </c>
      <c r="G24" s="160" t="s">
        <v>96</v>
      </c>
      <c r="H24" s="161"/>
      <c r="I24" s="157"/>
    </row>
    <row r="25" spans="1:9" ht="84" x14ac:dyDescent="0.35">
      <c r="A25" s="158"/>
      <c r="B25" s="162">
        <v>2.98</v>
      </c>
      <c r="C25" s="162">
        <v>1.4</v>
      </c>
      <c r="D25" s="163">
        <v>1</v>
      </c>
      <c r="E25" s="162">
        <f>+ROUND(D25*B25*C25,2)</f>
        <v>4.17</v>
      </c>
      <c r="F25" s="162">
        <v>0.2</v>
      </c>
      <c r="G25" s="162">
        <f>ROUND(B25*C25*F25*D25,2)</f>
        <v>0.83</v>
      </c>
      <c r="H25" s="164" t="s">
        <v>102</v>
      </c>
      <c r="I25" s="157"/>
    </row>
    <row r="26" spans="1:9" ht="84" x14ac:dyDescent="0.35">
      <c r="A26" s="158"/>
      <c r="B26" s="162">
        <v>0.3</v>
      </c>
      <c r="C26" s="162">
        <f>+C25</f>
        <v>1.4</v>
      </c>
      <c r="D26" s="163">
        <v>7</v>
      </c>
      <c r="E26" s="162">
        <f>+ROUND((D26*B26*C26)/2,2)</f>
        <v>1.47</v>
      </c>
      <c r="F26" s="162">
        <v>0.17</v>
      </c>
      <c r="G26" s="162">
        <f>ROUND(B26*C26*F26*D26/2,2)</f>
        <v>0.25</v>
      </c>
      <c r="H26" s="164" t="s">
        <v>103</v>
      </c>
      <c r="I26" s="157"/>
    </row>
    <row r="27" spans="1:9" ht="42" x14ac:dyDescent="0.35">
      <c r="A27" s="158"/>
      <c r="B27" s="162">
        <v>2.8</v>
      </c>
      <c r="C27" s="162">
        <v>1.4</v>
      </c>
      <c r="D27" s="163">
        <v>1</v>
      </c>
      <c r="E27" s="162">
        <f>+ROUND(D27*B27*C27,2)</f>
        <v>3.92</v>
      </c>
      <c r="F27" s="162">
        <v>0.2</v>
      </c>
      <c r="G27" s="162">
        <f>ROUND(B27*C27*F27*D27,2)</f>
        <v>0.78</v>
      </c>
      <c r="H27" s="164" t="s">
        <v>104</v>
      </c>
      <c r="I27" s="157"/>
    </row>
    <row r="28" spans="1:9" ht="84" x14ac:dyDescent="0.35">
      <c r="A28" s="158"/>
      <c r="B28" s="162">
        <v>2.84</v>
      </c>
      <c r="C28" s="162">
        <v>1.4</v>
      </c>
      <c r="D28" s="163">
        <v>1</v>
      </c>
      <c r="E28" s="162">
        <f>+ROUND(D28*B28*C28,2)</f>
        <v>3.98</v>
      </c>
      <c r="F28" s="162">
        <v>0.2</v>
      </c>
      <c r="G28" s="162">
        <f>ROUND(B28*C28*F28*D28,2)</f>
        <v>0.8</v>
      </c>
      <c r="H28" s="164" t="s">
        <v>105</v>
      </c>
      <c r="I28" s="157"/>
    </row>
    <row r="29" spans="1:9" ht="84" x14ac:dyDescent="0.35">
      <c r="A29" s="158"/>
      <c r="B29" s="162">
        <v>0.3</v>
      </c>
      <c r="C29" s="162">
        <v>1.4</v>
      </c>
      <c r="D29" s="163">
        <v>8</v>
      </c>
      <c r="E29" s="162">
        <f>+ROUND((D29*B29*C29)/2,2)</f>
        <v>1.68</v>
      </c>
      <c r="F29" s="162">
        <v>0.17</v>
      </c>
      <c r="G29" s="162">
        <f>ROUND(B29*C29*F29*D29/2,2)</f>
        <v>0.28999999999999998</v>
      </c>
      <c r="H29" s="164" t="s">
        <v>106</v>
      </c>
      <c r="I29" s="157"/>
    </row>
    <row r="30" spans="1:9" ht="42" x14ac:dyDescent="0.35">
      <c r="A30" s="158"/>
      <c r="B30" s="162">
        <v>2.8</v>
      </c>
      <c r="C30" s="162">
        <v>0.2</v>
      </c>
      <c r="D30" s="163">
        <v>1</v>
      </c>
      <c r="E30" s="162">
        <f>+ROUND(D30*B30*C30,2)</f>
        <v>0.56000000000000005</v>
      </c>
      <c r="F30" s="162">
        <v>0.37</v>
      </c>
      <c r="G30" s="162">
        <f>ROUND(B30*C30*F30*D30,2)</f>
        <v>0.21</v>
      </c>
      <c r="H30" s="165" t="s">
        <v>107</v>
      </c>
      <c r="I30" s="157"/>
    </row>
    <row r="31" spans="1:9" ht="63" x14ac:dyDescent="0.35">
      <c r="A31" s="158"/>
      <c r="B31" s="166"/>
      <c r="C31" s="166"/>
      <c r="D31" s="167"/>
      <c r="E31" s="168"/>
      <c r="F31" s="168"/>
      <c r="G31" s="169">
        <v>0</v>
      </c>
      <c r="H31" s="170" t="str">
        <f>+B21</f>
        <v>GRADA 14,40 / 17,28</v>
      </c>
      <c r="I31" s="157"/>
    </row>
    <row r="32" spans="1:9" ht="63" x14ac:dyDescent="0.35">
      <c r="A32" s="158"/>
      <c r="B32" s="166"/>
      <c r="C32" s="166"/>
      <c r="D32" s="167"/>
      <c r="E32" s="168"/>
      <c r="F32" s="168"/>
      <c r="G32" s="169">
        <v>0</v>
      </c>
      <c r="H32" s="170" t="str">
        <f>+B22</f>
        <v>GRADA 17,28 / 20,16</v>
      </c>
      <c r="I32" s="157"/>
    </row>
    <row r="33" spans="1:9" ht="21" x14ac:dyDescent="0.35">
      <c r="A33" s="158"/>
      <c r="B33" s="166"/>
      <c r="C33" s="166"/>
      <c r="D33" s="167"/>
      <c r="E33" s="168"/>
      <c r="F33" s="168"/>
      <c r="G33" s="168"/>
      <c r="H33" s="171"/>
      <c r="I33" s="157"/>
    </row>
    <row r="34" spans="1:9" ht="23.25" x14ac:dyDescent="0.35">
      <c r="A34" s="158"/>
      <c r="B34" s="152" t="s">
        <v>108</v>
      </c>
      <c r="C34" s="166"/>
      <c r="D34" s="167"/>
      <c r="E34" s="168"/>
      <c r="F34" s="168"/>
      <c r="G34" s="168"/>
      <c r="H34" s="172"/>
      <c r="I34" s="157"/>
    </row>
    <row r="35" spans="1:9" ht="24" thickBot="1" x14ac:dyDescent="0.4">
      <c r="A35" s="134"/>
      <c r="B35" s="131"/>
      <c r="C35" s="146"/>
      <c r="D35" s="146"/>
      <c r="E35" s="147"/>
      <c r="F35" s="146"/>
      <c r="G35" s="150"/>
      <c r="H35" s="150"/>
      <c r="I35" s="150"/>
    </row>
    <row r="36" spans="1:9" ht="23.25" x14ac:dyDescent="0.35">
      <c r="A36" s="134">
        <v>3</v>
      </c>
      <c r="B36" s="135" t="s">
        <v>89</v>
      </c>
      <c r="C36" s="136" t="s">
        <v>90</v>
      </c>
      <c r="D36" s="136" t="s">
        <v>91</v>
      </c>
      <c r="E36" s="136" t="s">
        <v>92</v>
      </c>
      <c r="F36" s="136" t="s">
        <v>93</v>
      </c>
      <c r="G36" s="137" t="s">
        <v>94</v>
      </c>
      <c r="H36" s="173"/>
      <c r="I36" s="138"/>
    </row>
    <row r="37" spans="1:9" ht="24" thickBot="1" x14ac:dyDescent="0.4">
      <c r="A37" s="134"/>
      <c r="B37" s="139" t="s">
        <v>95</v>
      </c>
      <c r="C37" s="140" t="s">
        <v>95</v>
      </c>
      <c r="D37" s="140" t="s">
        <v>95</v>
      </c>
      <c r="E37" s="140" t="s">
        <v>95</v>
      </c>
      <c r="F37" s="140" t="s">
        <v>96</v>
      </c>
      <c r="G37" s="141"/>
      <c r="H37" s="174"/>
      <c r="I37" s="142"/>
    </row>
    <row r="38" spans="1:9" ht="23.25" x14ac:dyDescent="0.35">
      <c r="A38" s="134"/>
      <c r="B38" s="143">
        <v>4.2</v>
      </c>
      <c r="C38" s="143">
        <v>0.2</v>
      </c>
      <c r="D38" s="143">
        <v>2.63</v>
      </c>
      <c r="E38" s="144">
        <v>2</v>
      </c>
      <c r="F38" s="143">
        <f>+ROUND((B38*C38*D38*E38),2)</f>
        <v>4.42</v>
      </c>
      <c r="G38" s="175" t="s">
        <v>109</v>
      </c>
      <c r="H38" s="176"/>
      <c r="I38" s="177"/>
    </row>
    <row r="39" spans="1:9" ht="24" thickBot="1" x14ac:dyDescent="0.4">
      <c r="A39" s="134"/>
      <c r="B39" s="140">
        <v>1.85</v>
      </c>
      <c r="C39" s="178">
        <v>0.2</v>
      </c>
      <c r="D39" s="178">
        <v>2.63</v>
      </c>
      <c r="E39" s="179">
        <v>2</v>
      </c>
      <c r="F39" s="178">
        <f>+ROUND((B39*C39*D39*E39),2)</f>
        <v>1.95</v>
      </c>
      <c r="G39" s="141" t="s">
        <v>110</v>
      </c>
      <c r="H39" s="174"/>
      <c r="I39" s="180"/>
    </row>
    <row r="40" spans="1:9" ht="23.25" x14ac:dyDescent="0.35">
      <c r="A40" s="134"/>
      <c r="B40" s="151">
        <v>1</v>
      </c>
      <c r="C40" s="143">
        <v>0.2</v>
      </c>
      <c r="D40" s="143">
        <v>2.2000000000000002</v>
      </c>
      <c r="E40" s="144">
        <v>2</v>
      </c>
      <c r="F40" s="143">
        <f>+ROUND((-B40*C40*D40*E40),2)</f>
        <v>-0.88</v>
      </c>
      <c r="G40" s="148" t="s">
        <v>111</v>
      </c>
      <c r="H40" s="181"/>
      <c r="I40" s="149"/>
    </row>
    <row r="41" spans="1:9" ht="23.25" x14ac:dyDescent="0.35">
      <c r="A41" s="134"/>
      <c r="B41" s="130"/>
      <c r="C41" s="122"/>
      <c r="D41" s="122"/>
      <c r="E41" s="122"/>
      <c r="F41" s="151">
        <f>SUM(F38:F40)</f>
        <v>5.49</v>
      </c>
      <c r="G41" s="122"/>
      <c r="H41" s="181"/>
      <c r="I41" s="149"/>
    </row>
    <row r="42" spans="1:9" ht="23.25" x14ac:dyDescent="0.35">
      <c r="A42" s="134"/>
      <c r="B42" s="130"/>
      <c r="C42" s="122"/>
      <c r="D42" s="122"/>
      <c r="E42" s="122"/>
      <c r="F42" s="151">
        <f>+F41</f>
        <v>5.49</v>
      </c>
      <c r="G42" s="148" t="str">
        <f>+B34</f>
        <v>DIAFRAGMA 20,16 / 23,04</v>
      </c>
      <c r="H42" s="181"/>
      <c r="I42" s="149"/>
    </row>
    <row r="43" spans="1:9" ht="23.25" x14ac:dyDescent="0.35">
      <c r="A43" s="134"/>
      <c r="B43" s="130"/>
      <c r="C43" s="122"/>
      <c r="D43" s="122"/>
      <c r="E43" s="122"/>
      <c r="F43" s="151"/>
      <c r="G43" s="148"/>
      <c r="H43" s="181"/>
      <c r="I43" s="149"/>
    </row>
    <row r="44" spans="1:9" ht="23.25" x14ac:dyDescent="0.35">
      <c r="A44" s="134"/>
      <c r="B44" s="130"/>
      <c r="C44" s="122"/>
      <c r="D44" s="122"/>
      <c r="E44" s="122"/>
      <c r="F44" s="146"/>
      <c r="G44" s="150"/>
      <c r="H44" s="150"/>
      <c r="I44" s="150"/>
    </row>
    <row r="45" spans="1:9" ht="23.25" x14ac:dyDescent="0.25">
      <c r="A45" s="134"/>
      <c r="B45" s="182" t="s">
        <v>112</v>
      </c>
      <c r="C45" s="183"/>
      <c r="D45" s="183"/>
      <c r="E45" s="183"/>
      <c r="F45" s="183"/>
      <c r="G45" s="183"/>
      <c r="H45" s="183"/>
      <c r="I45" s="183"/>
    </row>
    <row r="46" spans="1:9" ht="24" thickBot="1" x14ac:dyDescent="0.3">
      <c r="A46" s="134"/>
      <c r="B46" s="182"/>
      <c r="C46" s="184"/>
      <c r="D46" s="184"/>
      <c r="E46" s="184"/>
      <c r="F46" s="185"/>
      <c r="G46" s="184"/>
      <c r="H46" s="184"/>
      <c r="I46" s="184"/>
    </row>
    <row r="47" spans="1:9" ht="23.25" x14ac:dyDescent="0.25">
      <c r="A47" s="134">
        <v>4</v>
      </c>
      <c r="B47" s="186" t="s">
        <v>113</v>
      </c>
      <c r="C47" s="187" t="s">
        <v>114</v>
      </c>
      <c r="D47" s="187" t="s">
        <v>115</v>
      </c>
      <c r="E47" s="187" t="s">
        <v>93</v>
      </c>
      <c r="F47" s="187" t="s">
        <v>92</v>
      </c>
      <c r="G47" s="188" t="s">
        <v>116</v>
      </c>
      <c r="H47" s="189" t="s">
        <v>117</v>
      </c>
      <c r="I47" s="190"/>
    </row>
    <row r="48" spans="1:9" ht="24" thickBot="1" x14ac:dyDescent="0.3">
      <c r="A48" s="134"/>
      <c r="B48" s="191" t="s">
        <v>95</v>
      </c>
      <c r="C48" s="192" t="s">
        <v>95</v>
      </c>
      <c r="D48" s="192" t="s">
        <v>95</v>
      </c>
      <c r="E48" s="192" t="s">
        <v>118</v>
      </c>
      <c r="F48" s="192" t="s">
        <v>119</v>
      </c>
      <c r="G48" s="193" t="s">
        <v>118</v>
      </c>
      <c r="H48" s="194"/>
      <c r="I48" s="195"/>
    </row>
    <row r="49" spans="1:9" ht="23.25" x14ac:dyDescent="0.35">
      <c r="A49" s="134"/>
      <c r="B49" s="196"/>
      <c r="C49" s="196"/>
      <c r="D49" s="196"/>
      <c r="E49" s="196"/>
      <c r="F49" s="197"/>
      <c r="G49" s="143"/>
      <c r="H49" s="198"/>
      <c r="I49" s="199"/>
    </row>
    <row r="50" spans="1:9" ht="23.25" x14ac:dyDescent="0.35">
      <c r="A50" s="134"/>
      <c r="B50" s="200">
        <v>0.6</v>
      </c>
      <c r="C50" s="200">
        <v>0.6</v>
      </c>
      <c r="D50" s="200">
        <v>2.4300000000000002</v>
      </c>
      <c r="E50" s="196">
        <f>ROUND((B50*C50*D50),2)</f>
        <v>0.87</v>
      </c>
      <c r="F50" s="201">
        <v>15</v>
      </c>
      <c r="G50" s="151">
        <f>+ROUND((E50*F50),2)</f>
        <v>13.05</v>
      </c>
      <c r="H50" s="198" t="s">
        <v>120</v>
      </c>
      <c r="I50" s="202"/>
    </row>
    <row r="51" spans="1:9" ht="23.25" x14ac:dyDescent="0.35">
      <c r="A51" s="134"/>
      <c r="B51" s="200">
        <v>0.7</v>
      </c>
      <c r="C51" s="200">
        <v>0.7</v>
      </c>
      <c r="D51" s="200">
        <v>2.4300000000000002</v>
      </c>
      <c r="E51" s="200">
        <f>ROUND((B51*C51*D51),2)</f>
        <v>1.19</v>
      </c>
      <c r="F51" s="201">
        <v>3</v>
      </c>
      <c r="G51" s="151">
        <f>+ROUND((E51*F51),2)</f>
        <v>3.57</v>
      </c>
      <c r="H51" s="203" t="s">
        <v>121</v>
      </c>
      <c r="I51" s="202"/>
    </row>
    <row r="52" spans="1:9" ht="23.25" x14ac:dyDescent="0.25">
      <c r="A52" s="134"/>
      <c r="B52" s="204"/>
      <c r="C52" s="205"/>
      <c r="D52" s="205"/>
      <c r="E52" s="133"/>
      <c r="F52" s="133"/>
      <c r="G52" s="200">
        <f>SUM(G49:G51)</f>
        <v>16.62</v>
      </c>
      <c r="H52" s="184"/>
      <c r="I52" s="184"/>
    </row>
    <row r="53" spans="1:9" ht="23.25" x14ac:dyDescent="0.25">
      <c r="A53" s="134"/>
      <c r="B53" s="204"/>
      <c r="C53" s="205"/>
      <c r="D53" s="205"/>
      <c r="E53" s="133"/>
      <c r="F53" s="133"/>
      <c r="G53" s="200">
        <f>+G52</f>
        <v>16.62</v>
      </c>
      <c r="H53" s="203" t="str">
        <f>+B45</f>
        <v>COLUMNAS  20,16 / 23,04</v>
      </c>
      <c r="I53" s="202"/>
    </row>
    <row r="54" spans="1:9" ht="23.25" x14ac:dyDescent="0.25">
      <c r="A54" s="134"/>
      <c r="B54" s="204"/>
      <c r="C54" s="205"/>
      <c r="D54" s="205"/>
      <c r="E54" s="133"/>
      <c r="F54" s="133"/>
      <c r="G54" s="200"/>
      <c r="H54" s="203"/>
      <c r="I54" s="202"/>
    </row>
    <row r="55" spans="1:9" ht="23.25" x14ac:dyDescent="0.35">
      <c r="A55" s="134"/>
      <c r="B55" s="131" t="s">
        <v>122</v>
      </c>
      <c r="C55" s="205"/>
      <c r="D55" s="205"/>
      <c r="E55" s="133"/>
      <c r="F55" s="133"/>
      <c r="G55" s="133"/>
      <c r="H55" s="206"/>
      <c r="I55" s="207"/>
    </row>
    <row r="56" spans="1:9" ht="24" thickBot="1" x14ac:dyDescent="0.4">
      <c r="A56" s="129"/>
      <c r="B56" s="131"/>
      <c r="C56" s="122"/>
      <c r="D56" s="122"/>
      <c r="E56" s="122"/>
      <c r="F56" s="123"/>
      <c r="G56" s="122"/>
      <c r="H56" s="122"/>
      <c r="I56" s="122"/>
    </row>
    <row r="57" spans="1:9" ht="23.25" x14ac:dyDescent="0.35">
      <c r="A57" s="129">
        <v>5</v>
      </c>
      <c r="B57" s="135" t="s">
        <v>123</v>
      </c>
      <c r="C57" s="136" t="s">
        <v>91</v>
      </c>
      <c r="D57" s="208" t="s">
        <v>93</v>
      </c>
      <c r="E57" s="137" t="s">
        <v>94</v>
      </c>
      <c r="F57" s="209"/>
      <c r="G57" s="138"/>
      <c r="H57" s="122"/>
      <c r="I57" s="122"/>
    </row>
    <row r="58" spans="1:9" ht="24" thickBot="1" x14ac:dyDescent="0.4">
      <c r="A58" s="129"/>
      <c r="B58" s="139" t="s">
        <v>51</v>
      </c>
      <c r="C58" s="140" t="s">
        <v>95</v>
      </c>
      <c r="D58" s="210" t="s">
        <v>96</v>
      </c>
      <c r="E58" s="141"/>
      <c r="F58" s="211"/>
      <c r="G58" s="142"/>
      <c r="H58" s="122"/>
      <c r="I58" s="122"/>
    </row>
    <row r="59" spans="1:9" ht="23.25" x14ac:dyDescent="0.35">
      <c r="A59" s="129"/>
      <c r="B59" s="143">
        <v>699.73</v>
      </c>
      <c r="C59" s="143">
        <v>0.25</v>
      </c>
      <c r="D59" s="143">
        <f>ROUND(+B59*C59,2)</f>
        <v>174.93</v>
      </c>
      <c r="E59" s="212" t="s">
        <v>124</v>
      </c>
      <c r="F59" s="209"/>
      <c r="G59" s="138" t="s">
        <v>125</v>
      </c>
      <c r="H59" s="122"/>
      <c r="I59" s="122"/>
    </row>
    <row r="60" spans="1:9" ht="23.25" x14ac:dyDescent="0.35">
      <c r="A60" s="129"/>
      <c r="B60" s="213"/>
      <c r="C60" s="146"/>
      <c r="D60" s="146"/>
      <c r="E60" s="150"/>
      <c r="F60" s="146"/>
      <c r="G60" s="150"/>
      <c r="H60" s="122"/>
      <c r="I60" s="122"/>
    </row>
    <row r="61" spans="1:9" ht="24" thickBot="1" x14ac:dyDescent="0.4">
      <c r="A61" s="129"/>
      <c r="B61" s="130"/>
      <c r="C61" s="122"/>
      <c r="D61" s="122"/>
      <c r="E61" s="122"/>
      <c r="F61" s="123"/>
      <c r="G61" s="122"/>
      <c r="H61" s="122"/>
      <c r="I61" s="122"/>
    </row>
    <row r="62" spans="1:9" ht="23.25" x14ac:dyDescent="0.35">
      <c r="A62" s="129"/>
      <c r="B62" s="135" t="s">
        <v>126</v>
      </c>
      <c r="C62" s="136" t="s">
        <v>90</v>
      </c>
      <c r="D62" s="136" t="s">
        <v>91</v>
      </c>
      <c r="E62" s="136" t="s">
        <v>127</v>
      </c>
      <c r="F62" s="136" t="s">
        <v>93</v>
      </c>
      <c r="G62" s="137" t="s">
        <v>94</v>
      </c>
      <c r="H62" s="138"/>
      <c r="I62" s="122"/>
    </row>
    <row r="63" spans="1:9" ht="24" thickBot="1" x14ac:dyDescent="0.4">
      <c r="A63" s="129"/>
      <c r="B63" s="139" t="s">
        <v>95</v>
      </c>
      <c r="C63" s="140" t="s">
        <v>95</v>
      </c>
      <c r="D63" s="140" t="s">
        <v>95</v>
      </c>
      <c r="E63" s="140" t="s">
        <v>13</v>
      </c>
      <c r="F63" s="140" t="s">
        <v>128</v>
      </c>
      <c r="G63" s="141"/>
      <c r="H63" s="142"/>
      <c r="I63" s="122"/>
    </row>
    <row r="64" spans="1:9" ht="23.25" x14ac:dyDescent="0.35">
      <c r="A64" s="129"/>
      <c r="B64" s="143">
        <v>138.19999999999999</v>
      </c>
      <c r="C64" s="143">
        <v>0.40400000000000003</v>
      </c>
      <c r="D64" s="143">
        <v>0.20399999999999999</v>
      </c>
      <c r="E64" s="144">
        <v>1</v>
      </c>
      <c r="F64" s="143">
        <f>ROUND(+B64*C64*D64*E64,2)</f>
        <v>11.39</v>
      </c>
      <c r="G64" s="175" t="s">
        <v>129</v>
      </c>
      <c r="H64" s="177" t="s">
        <v>130</v>
      </c>
      <c r="I64" s="122"/>
    </row>
    <row r="65" spans="1:9" ht="23.25" x14ac:dyDescent="0.35">
      <c r="A65" s="129"/>
      <c r="B65" s="151">
        <v>15.5</v>
      </c>
      <c r="C65" s="143">
        <v>0.40400000000000003</v>
      </c>
      <c r="D65" s="143">
        <v>0.20399999999999999</v>
      </c>
      <c r="E65" s="214">
        <v>3</v>
      </c>
      <c r="F65" s="143">
        <f>ROUND(+B65*C65*D65*E65,2)</f>
        <v>3.83</v>
      </c>
      <c r="G65" s="148" t="s">
        <v>131</v>
      </c>
      <c r="H65" s="149"/>
      <c r="I65" s="122"/>
    </row>
    <row r="66" spans="1:9" ht="23.25" x14ac:dyDescent="0.35">
      <c r="A66" s="129"/>
      <c r="B66" s="151">
        <v>11.6</v>
      </c>
      <c r="C66" s="143">
        <v>0.40400000000000003</v>
      </c>
      <c r="D66" s="143">
        <v>0.20399999999999999</v>
      </c>
      <c r="E66" s="214">
        <v>6</v>
      </c>
      <c r="F66" s="143">
        <f>ROUND(+B66*C66*D66*E66,2)</f>
        <v>5.74</v>
      </c>
      <c r="G66" s="148" t="s">
        <v>132</v>
      </c>
      <c r="H66" s="149"/>
      <c r="I66" s="122"/>
    </row>
    <row r="67" spans="1:9" ht="23.25" x14ac:dyDescent="0.35">
      <c r="A67" s="129"/>
      <c r="B67" s="130"/>
      <c r="C67" s="122"/>
      <c r="D67" s="122"/>
      <c r="E67" s="122"/>
      <c r="F67" s="151">
        <f>SUM(F64:F66)</f>
        <v>20.96</v>
      </c>
      <c r="G67" s="148" t="s">
        <v>133</v>
      </c>
      <c r="H67" s="149"/>
      <c r="I67" s="122"/>
    </row>
    <row r="68" spans="1:9" ht="23.25" x14ac:dyDescent="0.35">
      <c r="A68" s="129"/>
      <c r="B68" s="130"/>
      <c r="C68" s="122"/>
      <c r="D68" s="122"/>
      <c r="E68" s="122"/>
      <c r="F68" s="146"/>
      <c r="G68" s="150"/>
      <c r="H68" s="150"/>
      <c r="I68" s="122"/>
    </row>
    <row r="69" spans="1:9" ht="23.25" x14ac:dyDescent="0.35">
      <c r="A69" s="129"/>
      <c r="B69" s="131" t="s">
        <v>134</v>
      </c>
      <c r="C69" s="122"/>
      <c r="D69" s="122"/>
      <c r="E69" s="122"/>
      <c r="F69" s="146"/>
      <c r="G69" s="122"/>
      <c r="H69" s="150"/>
      <c r="I69" s="122"/>
    </row>
    <row r="70" spans="1:9" ht="24" thickBot="1" x14ac:dyDescent="0.4">
      <c r="A70" s="129"/>
      <c r="B70" s="130"/>
      <c r="C70" s="122"/>
      <c r="D70" s="122"/>
      <c r="E70" s="122"/>
      <c r="F70" s="123"/>
      <c r="G70" s="122"/>
      <c r="H70" s="122"/>
      <c r="I70" s="122"/>
    </row>
    <row r="71" spans="1:9" ht="23.25" x14ac:dyDescent="0.35">
      <c r="A71" s="129"/>
      <c r="B71" s="135" t="s">
        <v>135</v>
      </c>
      <c r="C71" s="136" t="s">
        <v>136</v>
      </c>
      <c r="D71" s="136" t="s">
        <v>137</v>
      </c>
      <c r="E71" s="137" t="s">
        <v>94</v>
      </c>
      <c r="F71" s="209"/>
      <c r="G71" s="138"/>
      <c r="H71" s="122"/>
      <c r="I71" s="122"/>
    </row>
    <row r="72" spans="1:9" ht="24" thickBot="1" x14ac:dyDescent="0.4">
      <c r="A72" s="129"/>
      <c r="B72" s="215"/>
      <c r="C72" s="216"/>
      <c r="D72" s="216"/>
      <c r="E72" s="217"/>
      <c r="F72" s="218"/>
      <c r="G72" s="219"/>
      <c r="H72" s="122"/>
      <c r="I72" s="122"/>
    </row>
    <row r="73" spans="1:9" ht="23.25" x14ac:dyDescent="0.35">
      <c r="A73" s="129"/>
      <c r="B73" s="144">
        <v>1980</v>
      </c>
      <c r="C73" s="143">
        <f>0.375*0.375*0.2</f>
        <v>2.8125000000000001E-2</v>
      </c>
      <c r="D73" s="143">
        <f t="shared" ref="D73:D78" si="0">ROUND(+B73*C73,2)</f>
        <v>55.69</v>
      </c>
      <c r="E73" s="175" t="s">
        <v>138</v>
      </c>
      <c r="F73" s="220"/>
      <c r="G73" s="177"/>
      <c r="H73" s="122"/>
      <c r="I73" s="122"/>
    </row>
    <row r="74" spans="1:9" ht="23.25" x14ac:dyDescent="0.35">
      <c r="A74" s="122"/>
      <c r="B74" s="214">
        <v>30</v>
      </c>
      <c r="C74" s="151">
        <f>0.4*0.4*0.25</f>
        <v>4.0000000000000008E-2</v>
      </c>
      <c r="D74" s="143">
        <f t="shared" si="0"/>
        <v>1.2</v>
      </c>
      <c r="E74" s="148" t="s">
        <v>139</v>
      </c>
      <c r="F74" s="221"/>
      <c r="G74" s="149"/>
      <c r="H74" s="122"/>
      <c r="I74" s="122"/>
    </row>
    <row r="75" spans="1:9" ht="23.25" x14ac:dyDescent="0.35">
      <c r="A75" s="122"/>
      <c r="B75" s="214">
        <v>103</v>
      </c>
      <c r="C75" s="151">
        <f>0.4*0.2*0.2</f>
        <v>1.6000000000000004E-2</v>
      </c>
      <c r="D75" s="143">
        <f t="shared" si="0"/>
        <v>1.65</v>
      </c>
      <c r="E75" s="148" t="s">
        <v>140</v>
      </c>
      <c r="F75" s="221"/>
      <c r="G75" s="149"/>
      <c r="H75" s="122"/>
      <c r="I75" s="122"/>
    </row>
    <row r="76" spans="1:9" ht="23.25" x14ac:dyDescent="0.35">
      <c r="A76" s="122"/>
      <c r="B76" s="151">
        <v>1</v>
      </c>
      <c r="C76" s="151">
        <f>3.8*2.9*0.25</f>
        <v>2.7549999999999999</v>
      </c>
      <c r="D76" s="143">
        <f t="shared" si="0"/>
        <v>2.76</v>
      </c>
      <c r="E76" s="148" t="s">
        <v>141</v>
      </c>
      <c r="F76" s="221"/>
      <c r="G76" s="149"/>
      <c r="H76" s="122"/>
      <c r="I76" s="122"/>
    </row>
    <row r="77" spans="1:9" ht="23.25" x14ac:dyDescent="0.35">
      <c r="A77" s="122"/>
      <c r="B77" s="151">
        <v>1</v>
      </c>
      <c r="C77" s="151">
        <f>3.8*1.85*0.25</f>
        <v>1.7575000000000001</v>
      </c>
      <c r="D77" s="143">
        <f t="shared" si="0"/>
        <v>1.76</v>
      </c>
      <c r="E77" s="148" t="s">
        <v>142</v>
      </c>
      <c r="F77" s="221"/>
      <c r="G77" s="149"/>
      <c r="H77" s="122"/>
      <c r="I77" s="122"/>
    </row>
    <row r="78" spans="1:9" ht="23.25" x14ac:dyDescent="0.35">
      <c r="A78" s="122"/>
      <c r="B78" s="151">
        <v>6</v>
      </c>
      <c r="C78" s="151">
        <f>0.4*0.4*0.2</f>
        <v>3.2000000000000008E-2</v>
      </c>
      <c r="D78" s="143">
        <f t="shared" si="0"/>
        <v>0.19</v>
      </c>
      <c r="E78" s="148" t="s">
        <v>143</v>
      </c>
      <c r="F78" s="221"/>
      <c r="G78" s="149"/>
      <c r="H78" s="122"/>
      <c r="I78" s="122"/>
    </row>
    <row r="79" spans="1:9" ht="23.25" x14ac:dyDescent="0.35">
      <c r="A79" s="122"/>
      <c r="B79" s="147"/>
      <c r="C79" s="146"/>
      <c r="D79" s="143">
        <f>SUM(D73:D78)</f>
        <v>63.249999999999993</v>
      </c>
      <c r="E79" s="148" t="s">
        <v>144</v>
      </c>
      <c r="F79" s="221"/>
      <c r="G79" s="149"/>
      <c r="H79" s="122"/>
      <c r="I79" s="122"/>
    </row>
    <row r="80" spans="1:9" ht="23.25" x14ac:dyDescent="0.35">
      <c r="A80" s="122"/>
      <c r="B80" s="147"/>
      <c r="C80" s="146"/>
      <c r="D80" s="146"/>
      <c r="E80" s="150"/>
      <c r="F80" s="146"/>
      <c r="G80" s="150"/>
      <c r="H80" s="122"/>
      <c r="I80" s="122"/>
    </row>
    <row r="81" spans="1:9" ht="23.25" x14ac:dyDescent="0.35">
      <c r="A81" s="122"/>
      <c r="B81" s="130"/>
      <c r="C81" s="122"/>
      <c r="D81" s="122"/>
      <c r="E81" s="122"/>
      <c r="F81" s="123"/>
      <c r="G81" s="122"/>
      <c r="H81" s="122"/>
      <c r="I81" s="122"/>
    </row>
    <row r="82" spans="1:9" ht="23.25" x14ac:dyDescent="0.35">
      <c r="A82" s="122"/>
      <c r="B82" s="122"/>
      <c r="C82" s="222" t="s">
        <v>145</v>
      </c>
      <c r="D82" s="151">
        <f>+D59</f>
        <v>174.93</v>
      </c>
      <c r="E82" s="122"/>
      <c r="F82" s="123"/>
      <c r="G82" s="122"/>
      <c r="H82" s="122"/>
      <c r="I82" s="122"/>
    </row>
    <row r="83" spans="1:9" ht="23.25" x14ac:dyDescent="0.35">
      <c r="A83" s="122"/>
      <c r="B83" s="122"/>
      <c r="C83" s="222" t="s">
        <v>146</v>
      </c>
      <c r="D83" s="151">
        <f>+F67</f>
        <v>20.96</v>
      </c>
      <c r="E83" s="122"/>
      <c r="F83" s="123"/>
      <c r="G83" s="150"/>
      <c r="H83" s="122"/>
      <c r="I83" s="122"/>
    </row>
    <row r="84" spans="1:9" ht="23.25" x14ac:dyDescent="0.35">
      <c r="A84" s="122"/>
      <c r="B84" s="130"/>
      <c r="C84" s="222" t="s">
        <v>147</v>
      </c>
      <c r="D84" s="151">
        <f>-D79</f>
        <v>-63.249999999999993</v>
      </c>
      <c r="E84" s="122"/>
      <c r="F84" s="123"/>
      <c r="G84" s="150"/>
      <c r="H84" s="122"/>
      <c r="I84" s="122"/>
    </row>
    <row r="85" spans="1:9" ht="23.25" x14ac:dyDescent="0.35">
      <c r="A85" s="122"/>
      <c r="B85" s="130"/>
      <c r="C85" s="222" t="s">
        <v>148</v>
      </c>
      <c r="D85" s="151">
        <f>SUM(D82:D84)</f>
        <v>132.64000000000001</v>
      </c>
      <c r="E85" s="122"/>
      <c r="F85" s="123"/>
      <c r="G85" s="150"/>
      <c r="H85" s="122"/>
      <c r="I85" s="122"/>
    </row>
    <row r="86" spans="1:9" ht="23.25" x14ac:dyDescent="0.35">
      <c r="A86" s="122"/>
      <c r="B86" s="130"/>
      <c r="C86" s="213"/>
      <c r="D86" s="151">
        <f>+D85</f>
        <v>132.64000000000001</v>
      </c>
      <c r="E86" s="223" t="str">
        <f>+B55</f>
        <v>LOSA 20,16</v>
      </c>
      <c r="F86" s="123"/>
      <c r="G86" s="122"/>
      <c r="H86" s="122"/>
      <c r="I86" s="122"/>
    </row>
    <row r="87" spans="1:9" ht="23.25" x14ac:dyDescent="0.35">
      <c r="A87" s="122"/>
      <c r="B87" s="130"/>
      <c r="C87" s="213"/>
      <c r="D87" s="151"/>
      <c r="E87" s="223"/>
      <c r="F87" s="123"/>
      <c r="G87" s="122"/>
      <c r="H87" s="122"/>
      <c r="I87" s="122"/>
    </row>
    <row r="88" spans="1:9" ht="23.25" x14ac:dyDescent="0.35">
      <c r="A88" s="122"/>
      <c r="B88" s="130"/>
      <c r="C88" s="213"/>
      <c r="D88" s="150"/>
      <c r="E88" s="122"/>
      <c r="F88" s="123"/>
      <c r="G88" s="122"/>
      <c r="H88" s="122"/>
      <c r="I88" s="122"/>
    </row>
    <row r="89" spans="1:9" ht="23.25" x14ac:dyDescent="0.35">
      <c r="A89" s="122"/>
      <c r="B89" s="131" t="s">
        <v>149</v>
      </c>
      <c r="C89" s="213"/>
      <c r="D89" s="150"/>
      <c r="E89" s="122"/>
      <c r="F89" s="123"/>
      <c r="G89" s="122"/>
      <c r="H89" s="122"/>
      <c r="I89" s="122"/>
    </row>
    <row r="90" spans="1:9" ht="23.25" x14ac:dyDescent="0.35">
      <c r="A90" s="122"/>
      <c r="B90" s="122"/>
      <c r="C90" s="224" t="s">
        <v>150</v>
      </c>
      <c r="D90" s="225">
        <f>+F18</f>
        <v>2.21</v>
      </c>
      <c r="E90" s="226" t="str">
        <f>+G18</f>
        <v>MURO DE GRADA 20,16 / 23,04</v>
      </c>
      <c r="F90" s="149"/>
      <c r="G90" s="122"/>
      <c r="H90" s="122"/>
      <c r="I90" s="122"/>
    </row>
    <row r="91" spans="1:9" ht="23.25" x14ac:dyDescent="0.35">
      <c r="A91" s="129"/>
      <c r="B91" s="122"/>
      <c r="C91" s="224" t="s">
        <v>151</v>
      </c>
      <c r="D91" s="224">
        <f>+F19</f>
        <v>0</v>
      </c>
      <c r="E91" s="226">
        <f>+G19</f>
        <v>0</v>
      </c>
      <c r="F91" s="149"/>
      <c r="G91" s="122"/>
      <c r="H91" s="122"/>
      <c r="I91" s="122"/>
    </row>
    <row r="92" spans="1:9" ht="23.25" x14ac:dyDescent="0.35">
      <c r="A92" s="129"/>
      <c r="B92" s="122"/>
      <c r="C92" s="224" t="s">
        <v>152</v>
      </c>
      <c r="D92" s="224">
        <f>+G31</f>
        <v>0</v>
      </c>
      <c r="E92" s="226" t="str">
        <f>+H31</f>
        <v>GRADA 14,40 / 17,28</v>
      </c>
      <c r="F92" s="149"/>
      <c r="G92" s="122"/>
      <c r="H92" s="122"/>
      <c r="I92" s="122"/>
    </row>
    <row r="93" spans="1:9" ht="23.25" x14ac:dyDescent="0.35">
      <c r="A93" s="129"/>
      <c r="B93" s="122"/>
      <c r="C93" s="224" t="s">
        <v>153</v>
      </c>
      <c r="D93" s="224">
        <f>+G32</f>
        <v>0</v>
      </c>
      <c r="E93" s="226" t="str">
        <f>+H32</f>
        <v>GRADA 17,28 / 20,16</v>
      </c>
      <c r="F93" s="149"/>
      <c r="G93" s="122"/>
      <c r="H93" s="122"/>
      <c r="I93" s="122"/>
    </row>
    <row r="94" spans="1:9" ht="23.25" x14ac:dyDescent="0.35">
      <c r="A94" s="129"/>
      <c r="B94" s="122"/>
      <c r="C94" s="224" t="s">
        <v>151</v>
      </c>
      <c r="D94" s="224">
        <f>+F42</f>
        <v>5.49</v>
      </c>
      <c r="E94" s="226" t="str">
        <f>+G42</f>
        <v>DIAFRAGMA 20,16 / 23,04</v>
      </c>
      <c r="F94" s="149"/>
      <c r="G94" s="122"/>
      <c r="H94" s="122"/>
      <c r="I94" s="122"/>
    </row>
    <row r="95" spans="1:9" ht="23.25" x14ac:dyDescent="0.35">
      <c r="A95" s="129"/>
      <c r="B95" s="130"/>
      <c r="C95" s="224" t="s">
        <v>154</v>
      </c>
      <c r="D95" s="224">
        <f>+F43</f>
        <v>0</v>
      </c>
      <c r="E95" s="226">
        <f>+G43</f>
        <v>0</v>
      </c>
      <c r="F95" s="149"/>
      <c r="G95" s="122"/>
      <c r="H95" s="227"/>
      <c r="I95" s="122"/>
    </row>
    <row r="96" spans="1:9" ht="23.25" x14ac:dyDescent="0.35">
      <c r="A96" s="129"/>
      <c r="B96" s="130"/>
      <c r="C96" s="224" t="s">
        <v>152</v>
      </c>
      <c r="D96" s="224">
        <f>+G53</f>
        <v>16.62</v>
      </c>
      <c r="E96" s="226" t="str">
        <f>+H53</f>
        <v>COLUMNAS  20,16 / 23,04</v>
      </c>
      <c r="F96" s="149"/>
      <c r="G96" s="122"/>
      <c r="H96" s="122"/>
      <c r="I96" s="122"/>
    </row>
    <row r="97" spans="1:9" ht="23.25" x14ac:dyDescent="0.35">
      <c r="A97" s="129"/>
      <c r="B97" s="130"/>
      <c r="C97" s="224" t="s">
        <v>155</v>
      </c>
      <c r="D97" s="228">
        <f>+G54</f>
        <v>0</v>
      </c>
      <c r="E97" s="226">
        <f>+H54</f>
        <v>0</v>
      </c>
      <c r="F97" s="149"/>
      <c r="G97" s="122"/>
      <c r="H97" s="122"/>
      <c r="I97" s="122"/>
    </row>
    <row r="98" spans="1:9" ht="23.25" x14ac:dyDescent="0.35">
      <c r="A98" s="129"/>
      <c r="B98" s="130"/>
      <c r="C98" s="224" t="s">
        <v>153</v>
      </c>
      <c r="D98" s="224">
        <f>+D86</f>
        <v>132.64000000000001</v>
      </c>
      <c r="E98" s="226" t="str">
        <f>+E86</f>
        <v>LOSA 20,16</v>
      </c>
      <c r="F98" s="149"/>
      <c r="G98" s="122"/>
      <c r="H98" s="122"/>
      <c r="I98" s="122"/>
    </row>
    <row r="99" spans="1:9" ht="23.25" x14ac:dyDescent="0.35">
      <c r="A99" s="129"/>
      <c r="B99" s="130"/>
      <c r="C99" s="224" t="s">
        <v>156</v>
      </c>
      <c r="D99" s="229">
        <v>0</v>
      </c>
      <c r="E99" s="226">
        <f>+E87</f>
        <v>0</v>
      </c>
      <c r="F99" s="149"/>
      <c r="G99" s="122"/>
      <c r="H99" s="122"/>
      <c r="I99" s="122"/>
    </row>
    <row r="100" spans="1:9" ht="23.25" x14ac:dyDescent="0.35">
      <c r="A100" s="129"/>
      <c r="B100" s="130"/>
      <c r="C100" s="229"/>
      <c r="D100" s="229"/>
      <c r="E100" s="227"/>
      <c r="F100" s="150"/>
      <c r="G100" s="122"/>
      <c r="H100" s="122"/>
      <c r="I100" s="122"/>
    </row>
    <row r="101" spans="1:9" ht="23.25" x14ac:dyDescent="0.35">
      <c r="A101" s="129"/>
      <c r="B101" s="122"/>
      <c r="C101" s="229" t="s">
        <v>157</v>
      </c>
      <c r="D101" s="229">
        <f>SUM(D90:D99)</f>
        <v>156.96</v>
      </c>
      <c r="E101" s="122"/>
      <c r="F101" s="122"/>
      <c r="G101" s="122"/>
      <c r="H101" s="122"/>
      <c r="I101" s="122"/>
    </row>
    <row r="102" spans="1:9" ht="23.25" x14ac:dyDescent="0.35">
      <c r="A102" s="129"/>
      <c r="B102" s="122"/>
      <c r="C102" s="230"/>
      <c r="D102" s="230"/>
      <c r="E102" s="227"/>
      <c r="F102" s="150"/>
      <c r="G102" s="122"/>
      <c r="H102" s="122"/>
      <c r="I102" s="122"/>
    </row>
    <row r="103" spans="1:9" ht="23.25" x14ac:dyDescent="0.35">
      <c r="A103" s="129"/>
      <c r="B103" s="130"/>
      <c r="C103" s="122"/>
      <c r="D103" s="122"/>
      <c r="E103" s="122"/>
      <c r="F103" s="123"/>
      <c r="G103" s="122"/>
      <c r="H103" s="122"/>
      <c r="I103" s="122"/>
    </row>
    <row r="104" spans="1:9" ht="24" thickBot="1" x14ac:dyDescent="0.4">
      <c r="A104" s="134"/>
      <c r="B104" s="127"/>
      <c r="C104" s="122"/>
      <c r="D104" s="122"/>
      <c r="E104" s="122"/>
      <c r="F104" s="123"/>
      <c r="G104" s="122"/>
      <c r="H104" s="122"/>
      <c r="I104" s="122"/>
    </row>
    <row r="105" spans="1:9" ht="24" thickBot="1" x14ac:dyDescent="0.3">
      <c r="A105" s="134"/>
      <c r="B105" s="231" t="s">
        <v>157</v>
      </c>
      <c r="C105" s="232" t="str">
        <f>+B11</f>
        <v>HORMIGON SIMPLE f´c=240kg/cm2. PREMEZCLADO Y BOMBEADO</v>
      </c>
      <c r="D105" s="233"/>
      <c r="E105" s="233"/>
      <c r="F105" s="234">
        <f>+D101</f>
        <v>156.96</v>
      </c>
      <c r="G105" s="235" t="str">
        <f>+G11</f>
        <v>m3</v>
      </c>
      <c r="H105" s="184"/>
      <c r="I105" s="184"/>
    </row>
    <row r="106" spans="1:9" ht="23.25" x14ac:dyDescent="0.35">
      <c r="A106" s="134"/>
      <c r="B106" s="134"/>
      <c r="C106" s="134"/>
      <c r="D106" s="134"/>
      <c r="E106" s="134"/>
      <c r="F106" s="123"/>
      <c r="G106" s="122"/>
      <c r="H106" s="122"/>
      <c r="I106" s="122"/>
    </row>
  </sheetData>
  <mergeCells count="3">
    <mergeCell ref="B1:H1"/>
    <mergeCell ref="B3:H3"/>
    <mergeCell ref="H23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CAPITULO , ANALISIS , INSU</vt:lpstr>
      <vt:lpstr>CALCULO PRECIO UNITARIO</vt:lpstr>
      <vt:lpstr>CALCULO DE VOLUMNENES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2014-10-30T15:29:06Z</dcterms:modified>
</cp:coreProperties>
</file>